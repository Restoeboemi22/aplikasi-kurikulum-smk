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apel 2025-2026\Kumpulan Nilai TP 2025-2026\KELAS X\"/>
    </mc:Choice>
  </mc:AlternateContent>
  <xr:revisionPtr revIDLastSave="0" documentId="13_ncr:1_{6FE6BBF5-8989-47F7-A998-116AB8EEDC4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IODATA" sheetId="1" r:id="rId1"/>
    <sheet name="RR" sheetId="2" r:id="rId2"/>
    <sheet name="PSAJ" sheetId="3" r:id="rId3"/>
    <sheet name="DKN" sheetId="4" r:id="rId4"/>
    <sheet name="TRANSKRIP" sheetId="5" r:id="rId5"/>
    <sheet name="SKL" sheetId="6" r:id="rId6"/>
    <sheet name="TRANSKRIP58 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9" i="2"/>
  <c r="AK45" i="2" l="1"/>
  <c r="BI37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8" i="2"/>
  <c r="BI39" i="2"/>
  <c r="BI40" i="2"/>
  <c r="BI41" i="2"/>
  <c r="BI42" i="2"/>
  <c r="BI43" i="2"/>
  <c r="BI44" i="2"/>
  <c r="BI45" i="2"/>
  <c r="BI46" i="2"/>
  <c r="BI47" i="2"/>
  <c r="BI48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10" i="2"/>
  <c r="BC11" i="2"/>
  <c r="BC12" i="2"/>
  <c r="BC13" i="2"/>
  <c r="BC14" i="2"/>
  <c r="BC15" i="2"/>
  <c r="BC16" i="2"/>
  <c r="BC17" i="2"/>
  <c r="BC18" i="2"/>
  <c r="BC1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6" i="2"/>
  <c r="AK47" i="2"/>
  <c r="AK48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9" i="2"/>
  <c r="BP9" i="2"/>
  <c r="BL9" i="2"/>
  <c r="BI9" i="2"/>
  <c r="BF9" i="2"/>
  <c r="BC9" i="2"/>
  <c r="AW9" i="2"/>
  <c r="AQ9" i="2"/>
  <c r="AK9" i="2"/>
  <c r="AH9" i="2"/>
  <c r="AC9" i="2"/>
  <c r="X9" i="2"/>
  <c r="R9" i="2"/>
  <c r="L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9" i="2"/>
  <c r="D18" i="6" l="1"/>
  <c r="D17" i="6"/>
  <c r="D16" i="6"/>
  <c r="D15" i="6"/>
  <c r="D14" i="6"/>
  <c r="C6" i="5"/>
  <c r="C11" i="7"/>
  <c r="C10" i="7"/>
  <c r="C9" i="7"/>
  <c r="C8" i="7"/>
  <c r="R48" i="3"/>
  <c r="O59" i="3"/>
  <c r="O50" i="3"/>
  <c r="O58" i="3" l="1"/>
  <c r="O49" i="3"/>
  <c r="O48" i="3"/>
  <c r="O56" i="3"/>
  <c r="O60" i="3"/>
  <c r="O57" i="3"/>
  <c r="O55" i="3"/>
  <c r="O54" i="3"/>
  <c r="O53" i="3"/>
  <c r="O52" i="3"/>
  <c r="O51" i="3"/>
  <c r="C10" i="2" l="1"/>
  <c r="C9" i="3" s="1"/>
  <c r="C11" i="2"/>
  <c r="C10" i="3" s="1"/>
  <c r="C12" i="2"/>
  <c r="C11" i="3" s="1"/>
  <c r="C13" i="2"/>
  <c r="C12" i="3" s="1"/>
  <c r="C14" i="2"/>
  <c r="C13" i="3" s="1"/>
  <c r="C15" i="2"/>
  <c r="C14" i="3" s="1"/>
  <c r="C16" i="2"/>
  <c r="C15" i="3" s="1"/>
  <c r="C17" i="2"/>
  <c r="C16" i="3" s="1"/>
  <c r="C18" i="2"/>
  <c r="C17" i="3" s="1"/>
  <c r="C19" i="2"/>
  <c r="C18" i="3" s="1"/>
  <c r="C20" i="2"/>
  <c r="C19" i="3" s="1"/>
  <c r="C21" i="2"/>
  <c r="C20" i="3" s="1"/>
  <c r="C22" i="2"/>
  <c r="C23" i="2"/>
  <c r="C22" i="3" s="1"/>
  <c r="C24" i="2"/>
  <c r="C23" i="3" s="1"/>
  <c r="C25" i="2"/>
  <c r="C24" i="3" s="1"/>
  <c r="C26" i="2"/>
  <c r="C25" i="3" s="1"/>
  <c r="C27" i="2"/>
  <c r="C26" i="3" s="1"/>
  <c r="C28" i="2"/>
  <c r="C27" i="3" s="1"/>
  <c r="C29" i="2"/>
  <c r="C28" i="3" s="1"/>
  <c r="C30" i="2"/>
  <c r="C29" i="3" s="1"/>
  <c r="C31" i="2"/>
  <c r="C30" i="3" s="1"/>
  <c r="C32" i="2"/>
  <c r="C31" i="3" s="1"/>
  <c r="C33" i="2"/>
  <c r="C32" i="3" s="1"/>
  <c r="C34" i="2"/>
  <c r="C35" i="2"/>
  <c r="C36" i="2"/>
  <c r="C37" i="2"/>
  <c r="C38" i="2"/>
  <c r="C37" i="3" s="1"/>
  <c r="C39" i="2"/>
  <c r="C38" i="3" s="1"/>
  <c r="C40" i="2"/>
  <c r="C39" i="3" s="1"/>
  <c r="C41" i="2"/>
  <c r="C40" i="3" s="1"/>
  <c r="C42" i="2"/>
  <c r="C41" i="3" s="1"/>
  <c r="C43" i="2"/>
  <c r="C42" i="3" s="1"/>
  <c r="C44" i="2"/>
  <c r="C43" i="3" s="1"/>
  <c r="C45" i="2"/>
  <c r="C44" i="3" s="1"/>
  <c r="C46" i="2"/>
  <c r="C47" i="2"/>
  <c r="C48" i="2"/>
  <c r="C47" i="3" s="1"/>
  <c r="C9" i="2"/>
  <c r="C8" i="3" s="1"/>
  <c r="D44" i="7"/>
  <c r="D43" i="7"/>
  <c r="D38" i="7"/>
  <c r="D37" i="7"/>
  <c r="C14" i="7"/>
  <c r="C13" i="7"/>
  <c r="C12" i="7"/>
  <c r="C7" i="7"/>
  <c r="C6" i="7"/>
  <c r="E53" i="6"/>
  <c r="E52" i="6"/>
  <c r="E50" i="6"/>
  <c r="E49" i="6"/>
  <c r="A20" i="6"/>
  <c r="A19" i="6"/>
  <c r="A12" i="6"/>
  <c r="D10" i="6"/>
  <c r="D9" i="6"/>
  <c r="D8" i="6"/>
  <c r="A4" i="6"/>
  <c r="G36" i="5"/>
  <c r="G35" i="5"/>
  <c r="G33" i="5"/>
  <c r="G32" i="5"/>
  <c r="H6" i="5"/>
  <c r="H5" i="5"/>
  <c r="H4" i="5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W209" i="4"/>
  <c r="M209" i="4"/>
  <c r="D209" i="4"/>
  <c r="W208" i="4"/>
  <c r="M208" i="4"/>
  <c r="D208" i="4"/>
  <c r="V196" i="4" a="1"/>
  <c r="V196" i="4" s="1"/>
  <c r="T196" i="4" a="1"/>
  <c r="T196" i="4" s="1"/>
  <c r="S196" i="4" a="1"/>
  <c r="S196" i="4" s="1"/>
  <c r="R196" i="4" a="1"/>
  <c r="R196" i="4" s="1"/>
  <c r="Q196" i="4" a="1"/>
  <c r="Q196" i="4" s="1"/>
  <c r="P196" i="4" a="1"/>
  <c r="P196" i="4" s="1"/>
  <c r="O196" i="4" a="1"/>
  <c r="O196" i="4" s="1"/>
  <c r="N196" i="4" a="1"/>
  <c r="N196" i="4" s="1"/>
  <c r="M196" i="4" a="1"/>
  <c r="M196" i="4" s="1"/>
  <c r="L196" i="4" a="1"/>
  <c r="L196" i="4" s="1"/>
  <c r="K196" i="4" a="1"/>
  <c r="K196" i="4" s="1"/>
  <c r="J196" i="4" a="1"/>
  <c r="J196" i="4" s="1"/>
  <c r="I196" i="4" a="1"/>
  <c r="I196" i="4" s="1"/>
  <c r="H196" i="4" a="1"/>
  <c r="H196" i="4" s="1"/>
  <c r="G196" i="4" a="1"/>
  <c r="G196" i="4" s="1"/>
  <c r="B196" i="4" a="1"/>
  <c r="B196" i="4" s="1"/>
  <c r="A196" i="4"/>
  <c r="S195" i="4" a="1"/>
  <c r="S195" i="4" s="1"/>
  <c r="P195" i="4" a="1"/>
  <c r="P195" i="4" s="1"/>
  <c r="O195" i="4" a="1"/>
  <c r="O195" i="4" s="1"/>
  <c r="K195" i="4" a="1"/>
  <c r="K195" i="4" s="1"/>
  <c r="G195" i="4" a="1"/>
  <c r="G195" i="4" s="1"/>
  <c r="E195" i="4" a="1"/>
  <c r="E195" i="4" s="1"/>
  <c r="D195" i="4" a="1"/>
  <c r="D195" i="4" s="1"/>
  <c r="C195" i="4" a="1"/>
  <c r="C195" i="4" s="1"/>
  <c r="B195" i="4" a="1"/>
  <c r="B195" i="4" s="1"/>
  <c r="A195" i="4"/>
  <c r="V193" i="4" a="1"/>
  <c r="V193" i="4" s="1"/>
  <c r="T193" i="4" a="1"/>
  <c r="T193" i="4" s="1"/>
  <c r="S193" i="4" a="1"/>
  <c r="S193" i="4" s="1"/>
  <c r="R193" i="4" a="1"/>
  <c r="R193" i="4" s="1"/>
  <c r="Q193" i="4" a="1"/>
  <c r="Q193" i="4" s="1"/>
  <c r="P193" i="4" a="1"/>
  <c r="P193" i="4" s="1"/>
  <c r="O193" i="4" a="1"/>
  <c r="O193" i="4" s="1"/>
  <c r="N193" i="4" a="1"/>
  <c r="N193" i="4" s="1"/>
  <c r="M193" i="4" a="1"/>
  <c r="M193" i="4" s="1"/>
  <c r="L193" i="4" a="1"/>
  <c r="L193" i="4" s="1"/>
  <c r="K193" i="4" a="1"/>
  <c r="K193" i="4" s="1"/>
  <c r="J193" i="4" a="1"/>
  <c r="J193" i="4" s="1"/>
  <c r="I193" i="4" a="1"/>
  <c r="I193" i="4" s="1"/>
  <c r="H193" i="4" a="1"/>
  <c r="H193" i="4" s="1"/>
  <c r="G193" i="4" a="1"/>
  <c r="G193" i="4" s="1"/>
  <c r="B193" i="4" a="1"/>
  <c r="B193" i="4" s="1"/>
  <c r="A193" i="4"/>
  <c r="O192" i="4" a="1"/>
  <c r="O192" i="4" s="1"/>
  <c r="N192" i="4" a="1"/>
  <c r="N192" i="4" s="1"/>
  <c r="E192" i="4" a="1"/>
  <c r="E192" i="4" s="1"/>
  <c r="D192" i="4" a="1"/>
  <c r="D192" i="4" s="1"/>
  <c r="C192" i="4" a="1"/>
  <c r="C192" i="4" s="1"/>
  <c r="B192" i="4" a="1"/>
  <c r="B192" i="4" s="1"/>
  <c r="A192" i="4"/>
  <c r="V190" i="4" a="1"/>
  <c r="V190" i="4" s="1"/>
  <c r="T190" i="4" a="1"/>
  <c r="T190" i="4" s="1"/>
  <c r="S190" i="4" a="1"/>
  <c r="S190" i="4" s="1"/>
  <c r="R190" i="4" a="1"/>
  <c r="R190" i="4" s="1"/>
  <c r="Q190" i="4" a="1"/>
  <c r="Q190" i="4" s="1"/>
  <c r="P190" i="4" a="1"/>
  <c r="P190" i="4" s="1"/>
  <c r="O190" i="4" a="1"/>
  <c r="O190" i="4" s="1"/>
  <c r="N190" i="4" a="1"/>
  <c r="N190" i="4" s="1"/>
  <c r="M190" i="4" a="1"/>
  <c r="M190" i="4" s="1"/>
  <c r="L190" i="4" a="1"/>
  <c r="L190" i="4" s="1"/>
  <c r="K190" i="4" a="1"/>
  <c r="K190" i="4" s="1"/>
  <c r="J190" i="4" a="1"/>
  <c r="J190" i="4" s="1"/>
  <c r="I190" i="4" a="1"/>
  <c r="I190" i="4" s="1"/>
  <c r="H190" i="4" a="1"/>
  <c r="H190" i="4" s="1"/>
  <c r="G190" i="4" a="1"/>
  <c r="G190" i="4" s="1"/>
  <c r="B190" i="4" a="1"/>
  <c r="B190" i="4" s="1"/>
  <c r="A190" i="4"/>
  <c r="V189" i="4" a="1"/>
  <c r="V189" i="4" s="1"/>
  <c r="U189" i="4" a="1"/>
  <c r="U189" i="4" s="1"/>
  <c r="U191" i="4" s="1" a="1"/>
  <c r="U191" i="4" s="1"/>
  <c r="S189" i="4" a="1"/>
  <c r="S189" i="4" s="1"/>
  <c r="R189" i="4" a="1"/>
  <c r="R189" i="4" s="1"/>
  <c r="O189" i="4" a="1"/>
  <c r="O189" i="4" s="1"/>
  <c r="N189" i="4" a="1"/>
  <c r="N189" i="4" s="1"/>
  <c r="L189" i="4" a="1"/>
  <c r="L189" i="4" s="1"/>
  <c r="G189" i="4" a="1"/>
  <c r="G189" i="4" s="1"/>
  <c r="E189" i="4" a="1"/>
  <c r="E189" i="4" s="1"/>
  <c r="D189" i="4" a="1"/>
  <c r="D189" i="4" s="1"/>
  <c r="C189" i="4" a="1"/>
  <c r="C189" i="4" s="1"/>
  <c r="B189" i="4" a="1"/>
  <c r="B189" i="4" s="1"/>
  <c r="A189" i="4"/>
  <c r="V187" i="4" a="1"/>
  <c r="V187" i="4" s="1"/>
  <c r="T187" i="4" a="1"/>
  <c r="T187" i="4" s="1"/>
  <c r="S187" i="4" a="1"/>
  <c r="S187" i="4" s="1"/>
  <c r="R187" i="4" a="1"/>
  <c r="R187" i="4" s="1"/>
  <c r="Q187" i="4" a="1"/>
  <c r="Q187" i="4" s="1"/>
  <c r="P187" i="4" a="1"/>
  <c r="P187" i="4" s="1"/>
  <c r="O187" i="4" a="1"/>
  <c r="O187" i="4" s="1"/>
  <c r="N187" i="4" a="1"/>
  <c r="N187" i="4" s="1"/>
  <c r="M187" i="4" a="1"/>
  <c r="M187" i="4" s="1"/>
  <c r="L187" i="4" a="1"/>
  <c r="L187" i="4" s="1"/>
  <c r="K187" i="4" a="1"/>
  <c r="K187" i="4" s="1"/>
  <c r="J187" i="4" a="1"/>
  <c r="J187" i="4" s="1"/>
  <c r="I187" i="4" a="1"/>
  <c r="I187" i="4" s="1"/>
  <c r="H187" i="4" a="1"/>
  <c r="H187" i="4" s="1"/>
  <c r="G187" i="4" a="1"/>
  <c r="G187" i="4" s="1"/>
  <c r="B187" i="4" a="1"/>
  <c r="B187" i="4" s="1"/>
  <c r="A187" i="4"/>
  <c r="V186" i="4" a="1"/>
  <c r="V186" i="4" s="1"/>
  <c r="U186" i="4" a="1"/>
  <c r="U186" i="4" s="1"/>
  <c r="U188" i="4" s="1" a="1"/>
  <c r="U188" i="4" s="1"/>
  <c r="Q186" i="4" a="1"/>
  <c r="Q186" i="4" s="1"/>
  <c r="P186" i="4" a="1"/>
  <c r="P186" i="4" s="1"/>
  <c r="O186" i="4" a="1"/>
  <c r="O186" i="4" s="1"/>
  <c r="M186" i="4" a="1"/>
  <c r="M186" i="4" s="1"/>
  <c r="I186" i="4" a="1"/>
  <c r="I186" i="4" s="1"/>
  <c r="E186" i="4" a="1"/>
  <c r="E186" i="4" s="1"/>
  <c r="D186" i="4" a="1"/>
  <c r="D186" i="4" s="1"/>
  <c r="C186" i="4" a="1"/>
  <c r="C186" i="4" s="1"/>
  <c r="B186" i="4" a="1"/>
  <c r="B186" i="4" s="1"/>
  <c r="A186" i="4"/>
  <c r="V184" i="4" a="1"/>
  <c r="V184" i="4" s="1"/>
  <c r="T184" i="4" a="1"/>
  <c r="T184" i="4" s="1"/>
  <c r="S184" i="4" a="1"/>
  <c r="S184" i="4" s="1"/>
  <c r="R184" i="4" a="1"/>
  <c r="R184" i="4" s="1"/>
  <c r="Q184" i="4" a="1"/>
  <c r="Q184" i="4" s="1"/>
  <c r="P184" i="4" a="1"/>
  <c r="P184" i="4" s="1"/>
  <c r="O184" i="4" a="1"/>
  <c r="O184" i="4" s="1"/>
  <c r="N184" i="4" a="1"/>
  <c r="N184" i="4" s="1"/>
  <c r="M184" i="4" a="1"/>
  <c r="M184" i="4" s="1"/>
  <c r="L184" i="4" a="1"/>
  <c r="L184" i="4" s="1"/>
  <c r="K184" i="4" a="1"/>
  <c r="K184" i="4" s="1"/>
  <c r="J184" i="4" a="1"/>
  <c r="J184" i="4" s="1"/>
  <c r="I184" i="4" a="1"/>
  <c r="I184" i="4" s="1"/>
  <c r="H184" i="4" a="1"/>
  <c r="H184" i="4" s="1"/>
  <c r="G184" i="4" a="1"/>
  <c r="G184" i="4" s="1"/>
  <c r="B184" i="4" a="1"/>
  <c r="B184" i="4" s="1"/>
  <c r="A184" i="4"/>
  <c r="O183" i="4" a="1"/>
  <c r="O183" i="4" s="1"/>
  <c r="K183" i="4" a="1"/>
  <c r="K183" i="4" s="1"/>
  <c r="G183" i="4" a="1"/>
  <c r="G183" i="4" s="1"/>
  <c r="E183" i="4" a="1"/>
  <c r="E183" i="4" s="1"/>
  <c r="D183" i="4" a="1"/>
  <c r="D183" i="4" s="1"/>
  <c r="C183" i="4" a="1"/>
  <c r="C183" i="4" s="1"/>
  <c r="B183" i="4" a="1"/>
  <c r="B183" i="4" s="1"/>
  <c r="A183" i="4"/>
  <c r="V181" i="4" a="1"/>
  <c r="V181" i="4" s="1"/>
  <c r="T181" i="4" a="1"/>
  <c r="T181" i="4" s="1"/>
  <c r="S181" i="4" a="1"/>
  <c r="S181" i="4" s="1"/>
  <c r="R181" i="4" a="1"/>
  <c r="R181" i="4" s="1"/>
  <c r="Q181" i="4" a="1"/>
  <c r="Q181" i="4" s="1"/>
  <c r="P181" i="4" a="1"/>
  <c r="P181" i="4" s="1"/>
  <c r="O181" i="4" a="1"/>
  <c r="O181" i="4" s="1"/>
  <c r="N181" i="4" a="1"/>
  <c r="N181" i="4" s="1"/>
  <c r="M181" i="4" a="1"/>
  <c r="M181" i="4" s="1"/>
  <c r="L181" i="4" a="1"/>
  <c r="L181" i="4" s="1"/>
  <c r="K181" i="4" a="1"/>
  <c r="K181" i="4" s="1"/>
  <c r="J181" i="4" a="1"/>
  <c r="J181" i="4" s="1"/>
  <c r="I181" i="4" a="1"/>
  <c r="I181" i="4" s="1"/>
  <c r="H181" i="4" a="1"/>
  <c r="H181" i="4" s="1"/>
  <c r="G181" i="4" a="1"/>
  <c r="G181" i="4" s="1"/>
  <c r="B181" i="4" a="1"/>
  <c r="B181" i="4" s="1"/>
  <c r="A181" i="4"/>
  <c r="T180" i="4" a="1"/>
  <c r="T180" i="4" s="1"/>
  <c r="S180" i="4" a="1"/>
  <c r="S180" i="4" s="1"/>
  <c r="R180" i="4" a="1"/>
  <c r="R180" i="4" s="1"/>
  <c r="Q180" i="4" a="1"/>
  <c r="Q180" i="4" s="1"/>
  <c r="O180" i="4" a="1"/>
  <c r="O180" i="4" s="1"/>
  <c r="M180" i="4" a="1"/>
  <c r="M180" i="4" s="1"/>
  <c r="L180" i="4" a="1"/>
  <c r="L180" i="4" s="1"/>
  <c r="K180" i="4" a="1"/>
  <c r="K180" i="4" s="1"/>
  <c r="E180" i="4" a="1"/>
  <c r="E180" i="4" s="1"/>
  <c r="D180" i="4" a="1"/>
  <c r="D180" i="4" s="1"/>
  <c r="C180" i="4" a="1"/>
  <c r="C180" i="4" s="1"/>
  <c r="B180" i="4" a="1"/>
  <c r="B180" i="4" s="1"/>
  <c r="A180" i="4"/>
  <c r="V178" i="4" a="1"/>
  <c r="V178" i="4" s="1"/>
  <c r="T178" i="4" a="1"/>
  <c r="T178" i="4" s="1"/>
  <c r="S178" i="4" a="1"/>
  <c r="S178" i="4" s="1"/>
  <c r="R178" i="4" a="1"/>
  <c r="R178" i="4" s="1"/>
  <c r="Q178" i="4" a="1"/>
  <c r="Q178" i="4" s="1"/>
  <c r="P178" i="4" a="1"/>
  <c r="P178" i="4" s="1"/>
  <c r="O178" i="4" a="1"/>
  <c r="O178" i="4" s="1"/>
  <c r="N178" i="4" a="1"/>
  <c r="N178" i="4" s="1"/>
  <c r="M178" i="4" a="1"/>
  <c r="M178" i="4" s="1"/>
  <c r="L178" i="4" a="1"/>
  <c r="L178" i="4" s="1"/>
  <c r="K178" i="4" a="1"/>
  <c r="K178" i="4" s="1"/>
  <c r="J178" i="4" a="1"/>
  <c r="J178" i="4" s="1"/>
  <c r="I178" i="4" a="1"/>
  <c r="I178" i="4" s="1"/>
  <c r="H178" i="4" a="1"/>
  <c r="H178" i="4" s="1"/>
  <c r="G178" i="4" a="1"/>
  <c r="G178" i="4" s="1"/>
  <c r="B178" i="4" a="1"/>
  <c r="B178" i="4" s="1"/>
  <c r="A178" i="4"/>
  <c r="U177" i="4" a="1"/>
  <c r="U177" i="4" s="1"/>
  <c r="U179" i="4" s="1" a="1"/>
  <c r="U179" i="4" s="1"/>
  <c r="O177" i="4" a="1"/>
  <c r="O177" i="4" s="1"/>
  <c r="N177" i="4" a="1"/>
  <c r="N177" i="4" s="1"/>
  <c r="E177" i="4" a="1"/>
  <c r="E177" i="4" s="1"/>
  <c r="D177" i="4" a="1"/>
  <c r="D177" i="4" s="1"/>
  <c r="C177" i="4" a="1"/>
  <c r="C177" i="4" s="1"/>
  <c r="B177" i="4" a="1"/>
  <c r="B177" i="4" s="1"/>
  <c r="A177" i="4"/>
  <c r="V175" i="4" a="1"/>
  <c r="V175" i="4" s="1"/>
  <c r="T175" i="4" a="1"/>
  <c r="T175" i="4" s="1"/>
  <c r="S175" i="4" a="1"/>
  <c r="S175" i="4" s="1"/>
  <c r="R175" i="4" a="1"/>
  <c r="R175" i="4" s="1"/>
  <c r="Q175" i="4" a="1"/>
  <c r="Q175" i="4" s="1"/>
  <c r="P175" i="4" a="1"/>
  <c r="P175" i="4" s="1"/>
  <c r="O175" i="4" a="1"/>
  <c r="O175" i="4" s="1"/>
  <c r="N175" i="4" a="1"/>
  <c r="N175" i="4" s="1"/>
  <c r="M175" i="4" a="1"/>
  <c r="M175" i="4" s="1"/>
  <c r="L175" i="4" a="1"/>
  <c r="L175" i="4" s="1"/>
  <c r="K175" i="4" a="1"/>
  <c r="K175" i="4" s="1"/>
  <c r="J175" i="4" a="1"/>
  <c r="J175" i="4" s="1"/>
  <c r="I175" i="4" a="1"/>
  <c r="I175" i="4" s="1"/>
  <c r="H175" i="4" a="1"/>
  <c r="H175" i="4" s="1"/>
  <c r="G175" i="4" a="1"/>
  <c r="G175" i="4" s="1"/>
  <c r="B175" i="4" a="1"/>
  <c r="B175" i="4" s="1"/>
  <c r="A175" i="4"/>
  <c r="U174" i="4" a="1"/>
  <c r="U174" i="4" s="1"/>
  <c r="U176" i="4" s="1" a="1"/>
  <c r="U176" i="4" s="1"/>
  <c r="O174" i="4" a="1"/>
  <c r="O174" i="4" s="1"/>
  <c r="M174" i="4" a="1"/>
  <c r="M174" i="4" s="1"/>
  <c r="I174" i="4" a="1"/>
  <c r="I174" i="4" s="1"/>
  <c r="G174" i="4" a="1"/>
  <c r="G174" i="4" s="1"/>
  <c r="D174" i="4" a="1"/>
  <c r="D174" i="4" s="1"/>
  <c r="C174" i="4" a="1"/>
  <c r="C174" i="4" s="1"/>
  <c r="B174" i="4" a="1"/>
  <c r="B174" i="4" s="1"/>
  <c r="A174" i="4"/>
  <c r="V172" i="4" a="1"/>
  <c r="V172" i="4" s="1"/>
  <c r="T172" i="4" a="1"/>
  <c r="T172" i="4" s="1"/>
  <c r="S172" i="4" a="1"/>
  <c r="S172" i="4" s="1"/>
  <c r="R172" i="4" a="1"/>
  <c r="R172" i="4" s="1"/>
  <c r="Q172" i="4" a="1"/>
  <c r="Q172" i="4" s="1"/>
  <c r="P172" i="4" a="1"/>
  <c r="P172" i="4" s="1"/>
  <c r="O172" i="4" a="1"/>
  <c r="O172" i="4" s="1"/>
  <c r="N172" i="4" a="1"/>
  <c r="N172" i="4" s="1"/>
  <c r="M172" i="4" a="1"/>
  <c r="M172" i="4" s="1"/>
  <c r="L172" i="4" a="1"/>
  <c r="L172" i="4" s="1"/>
  <c r="K172" i="4" a="1"/>
  <c r="K172" i="4" s="1"/>
  <c r="J172" i="4" a="1"/>
  <c r="J172" i="4" s="1"/>
  <c r="I172" i="4" a="1"/>
  <c r="I172" i="4" s="1"/>
  <c r="H172" i="4" a="1"/>
  <c r="H172" i="4" s="1"/>
  <c r="G172" i="4" a="1"/>
  <c r="G172" i="4" s="1"/>
  <c r="B172" i="4" a="1"/>
  <c r="B172" i="4" s="1"/>
  <c r="A172" i="4"/>
  <c r="V171" i="4" a="1"/>
  <c r="V171" i="4" s="1"/>
  <c r="O171" i="4" a="1"/>
  <c r="O171" i="4" s="1"/>
  <c r="K171" i="4" a="1"/>
  <c r="K171" i="4" s="1"/>
  <c r="J171" i="4" a="1"/>
  <c r="J171" i="4" s="1"/>
  <c r="I171" i="4" a="1"/>
  <c r="I171" i="4" s="1"/>
  <c r="G171" i="4" a="1"/>
  <c r="G171" i="4" s="1"/>
  <c r="E171" i="4" a="1"/>
  <c r="E171" i="4" s="1"/>
  <c r="D171" i="4" a="1"/>
  <c r="D171" i="4" s="1"/>
  <c r="B171" i="4" a="1"/>
  <c r="B171" i="4" s="1"/>
  <c r="A171" i="4"/>
  <c r="P169" i="4" a="1"/>
  <c r="P169" i="4" s="1"/>
  <c r="B169" i="4" a="1"/>
  <c r="B169" i="4" s="1"/>
  <c r="A169" i="4"/>
  <c r="V168" i="4" a="1"/>
  <c r="V168" i="4" s="1"/>
  <c r="Q168" i="4" a="1"/>
  <c r="Q168" i="4" s="1"/>
  <c r="O168" i="4" a="1"/>
  <c r="O168" i="4" s="1"/>
  <c r="H168" i="4" a="1"/>
  <c r="H168" i="4" s="1"/>
  <c r="E168" i="4" a="1"/>
  <c r="E168" i="4" s="1"/>
  <c r="D168" i="4" a="1"/>
  <c r="D168" i="4" s="1"/>
  <c r="C168" i="4" a="1"/>
  <c r="C168" i="4" s="1"/>
  <c r="B168" i="4" a="1"/>
  <c r="B168" i="4" s="1"/>
  <c r="A168" i="4"/>
  <c r="P166" i="4" a="1"/>
  <c r="P166" i="4" s="1"/>
  <c r="B166" i="4" a="1"/>
  <c r="B166" i="4" s="1"/>
  <c r="A166" i="4"/>
  <c r="S165" i="4" a="1"/>
  <c r="S165" i="4" s="1"/>
  <c r="R165" i="4" a="1"/>
  <c r="R165" i="4" s="1"/>
  <c r="O165" i="4" a="1"/>
  <c r="O165" i="4" s="1"/>
  <c r="G165" i="4" a="1"/>
  <c r="G165" i="4" s="1"/>
  <c r="E165" i="4" a="1"/>
  <c r="E165" i="4" s="1"/>
  <c r="D165" i="4" a="1"/>
  <c r="D165" i="4" s="1"/>
  <c r="C165" i="4" a="1"/>
  <c r="C165" i="4" s="1"/>
  <c r="B165" i="4" a="1"/>
  <c r="B165" i="4" s="1"/>
  <c r="A165" i="4"/>
  <c r="R163" i="4" a="1"/>
  <c r="R163" i="4" s="1"/>
  <c r="P163" i="4" a="1"/>
  <c r="P163" i="4" s="1"/>
  <c r="B163" i="4" a="1"/>
  <c r="B163" i="4" s="1"/>
  <c r="A163" i="4"/>
  <c r="S162" i="4" a="1"/>
  <c r="S162" i="4" s="1"/>
  <c r="O162" i="4" a="1"/>
  <c r="O162" i="4" s="1"/>
  <c r="M162" i="4" a="1"/>
  <c r="M162" i="4" s="1"/>
  <c r="I162" i="4" a="1"/>
  <c r="I162" i="4" s="1"/>
  <c r="E162" i="4" a="1"/>
  <c r="E162" i="4" s="1"/>
  <c r="D162" i="4" a="1"/>
  <c r="D162" i="4" s="1"/>
  <c r="C162" i="4" a="1"/>
  <c r="C162" i="4" s="1"/>
  <c r="B162" i="4" a="1"/>
  <c r="B162" i="4" s="1"/>
  <c r="A162" i="4"/>
  <c r="T160" i="4" a="1"/>
  <c r="T160" i="4" s="1"/>
  <c r="P160" i="4" a="1"/>
  <c r="P160" i="4" s="1"/>
  <c r="B160" i="4" a="1"/>
  <c r="B160" i="4" s="1"/>
  <c r="A160" i="4"/>
  <c r="O159" i="4" a="1"/>
  <c r="O159" i="4" s="1"/>
  <c r="M159" i="4" a="1"/>
  <c r="M159" i="4" s="1"/>
  <c r="G159" i="4" a="1"/>
  <c r="G159" i="4" s="1"/>
  <c r="E159" i="4" a="1"/>
  <c r="E159" i="4" s="1"/>
  <c r="D159" i="4" a="1"/>
  <c r="D159" i="4" s="1"/>
  <c r="C159" i="4" a="1"/>
  <c r="C159" i="4" s="1"/>
  <c r="B159" i="4" a="1"/>
  <c r="B159" i="4" s="1"/>
  <c r="A159" i="4"/>
  <c r="V157" i="4" a="1"/>
  <c r="V157" i="4" s="1"/>
  <c r="P157" i="4" a="1"/>
  <c r="P157" i="4" s="1"/>
  <c r="I157" i="4" a="1"/>
  <c r="I157" i="4" s="1"/>
  <c r="B157" i="4" a="1"/>
  <c r="B157" i="4" s="1"/>
  <c r="A157" i="4"/>
  <c r="V156" i="4" a="1"/>
  <c r="V156" i="4" s="1"/>
  <c r="S156" i="4" a="1"/>
  <c r="S156" i="4" s="1"/>
  <c r="R156" i="4" a="1"/>
  <c r="R156" i="4" s="1"/>
  <c r="O156" i="4" a="1"/>
  <c r="O156" i="4" s="1"/>
  <c r="L156" i="4" a="1"/>
  <c r="L156" i="4" s="1"/>
  <c r="K156" i="4" a="1"/>
  <c r="K156" i="4" s="1"/>
  <c r="E156" i="4" a="1"/>
  <c r="E156" i="4" s="1"/>
  <c r="D156" i="4" a="1"/>
  <c r="D156" i="4" s="1"/>
  <c r="C156" i="4" a="1"/>
  <c r="C156" i="4" s="1"/>
  <c r="B156" i="4" a="1"/>
  <c r="B156" i="4" s="1"/>
  <c r="A156" i="4"/>
  <c r="P154" i="4" a="1"/>
  <c r="P154" i="4" s="1"/>
  <c r="O154" i="4" a="1"/>
  <c r="O154" i="4" s="1"/>
  <c r="N154" i="4" a="1"/>
  <c r="N154" i="4" s="1"/>
  <c r="M154" i="4" a="1"/>
  <c r="M154" i="4" s="1"/>
  <c r="I154" i="4" a="1"/>
  <c r="I154" i="4" s="1"/>
  <c r="H154" i="4" a="1"/>
  <c r="H154" i="4" s="1"/>
  <c r="G154" i="4" a="1"/>
  <c r="G154" i="4" s="1"/>
  <c r="B154" i="4" a="1"/>
  <c r="B154" i="4" s="1"/>
  <c r="A154" i="4"/>
  <c r="U153" i="4" a="1"/>
  <c r="U153" i="4" s="1"/>
  <c r="U155" i="4" s="1" a="1"/>
  <c r="U155" i="4" s="1"/>
  <c r="S153" i="4" a="1"/>
  <c r="S153" i="4" s="1"/>
  <c r="O153" i="4" a="1"/>
  <c r="O153" i="4" s="1"/>
  <c r="J153" i="4" a="1"/>
  <c r="J153" i="4" s="1"/>
  <c r="I153" i="4" a="1"/>
  <c r="I153" i="4" s="1"/>
  <c r="G153" i="4" a="1"/>
  <c r="G153" i="4" s="1"/>
  <c r="E153" i="4" a="1"/>
  <c r="E153" i="4" s="1"/>
  <c r="D153" i="4" a="1"/>
  <c r="D153" i="4" s="1"/>
  <c r="C153" i="4" a="1"/>
  <c r="C153" i="4" s="1"/>
  <c r="B153" i="4" a="1"/>
  <c r="B153" i="4" s="1"/>
  <c r="A153" i="4"/>
  <c r="V151" i="4" a="1"/>
  <c r="V151" i="4" s="1"/>
  <c r="T151" i="4" a="1"/>
  <c r="T151" i="4" s="1"/>
  <c r="S151" i="4" a="1"/>
  <c r="S151" i="4" s="1"/>
  <c r="R151" i="4" a="1"/>
  <c r="R151" i="4" s="1"/>
  <c r="Q151" i="4" a="1"/>
  <c r="Q151" i="4" s="1"/>
  <c r="P151" i="4" a="1"/>
  <c r="P151" i="4" s="1"/>
  <c r="M151" i="4" a="1"/>
  <c r="M151" i="4" s="1"/>
  <c r="L151" i="4" a="1"/>
  <c r="L151" i="4" s="1"/>
  <c r="K151" i="4" a="1"/>
  <c r="K151" i="4" s="1"/>
  <c r="J151" i="4" a="1"/>
  <c r="J151" i="4" s="1"/>
  <c r="I151" i="4" a="1"/>
  <c r="I151" i="4" s="1"/>
  <c r="H151" i="4" a="1"/>
  <c r="H151" i="4" s="1"/>
  <c r="G151" i="4" a="1"/>
  <c r="G151" i="4" s="1"/>
  <c r="B151" i="4" a="1"/>
  <c r="B151" i="4" s="1"/>
  <c r="A151" i="4"/>
  <c r="T150" i="4" a="1"/>
  <c r="T150" i="4" s="1"/>
  <c r="S150" i="4" a="1"/>
  <c r="S150" i="4" s="1"/>
  <c r="Q150" i="4" a="1"/>
  <c r="Q150" i="4" s="1"/>
  <c r="O150" i="4" a="1"/>
  <c r="O150" i="4" s="1"/>
  <c r="K150" i="4" a="1"/>
  <c r="K150" i="4" s="1"/>
  <c r="H150" i="4" a="1"/>
  <c r="H150" i="4" s="1"/>
  <c r="G150" i="4" a="1"/>
  <c r="G150" i="4" s="1"/>
  <c r="E150" i="4" a="1"/>
  <c r="E150" i="4" s="1"/>
  <c r="D150" i="4" a="1"/>
  <c r="D150" i="4" s="1"/>
  <c r="C150" i="4" a="1"/>
  <c r="C150" i="4" s="1"/>
  <c r="B150" i="4" a="1"/>
  <c r="B150" i="4" s="1"/>
  <c r="A150" i="4"/>
  <c r="P148" i="4" a="1"/>
  <c r="P148" i="4" s="1"/>
  <c r="O148" i="4" a="1"/>
  <c r="O148" i="4" s="1"/>
  <c r="N148" i="4" a="1"/>
  <c r="N148" i="4" s="1"/>
  <c r="M148" i="4" a="1"/>
  <c r="M148" i="4" s="1"/>
  <c r="L148" i="4" a="1"/>
  <c r="L148" i="4" s="1"/>
  <c r="K148" i="4" a="1"/>
  <c r="K148" i="4" s="1"/>
  <c r="J148" i="4" a="1"/>
  <c r="J148" i="4" s="1"/>
  <c r="B148" i="4" a="1"/>
  <c r="B148" i="4" s="1"/>
  <c r="A148" i="4"/>
  <c r="Q147" i="4" a="1"/>
  <c r="Q147" i="4" s="1"/>
  <c r="O147" i="4" a="1"/>
  <c r="O147" i="4" s="1"/>
  <c r="E147" i="4" a="1"/>
  <c r="E147" i="4" s="1"/>
  <c r="D147" i="4" a="1"/>
  <c r="D147" i="4" s="1"/>
  <c r="C147" i="4" a="1"/>
  <c r="C147" i="4" s="1"/>
  <c r="B147" i="4" a="1"/>
  <c r="B147" i="4" s="1"/>
  <c r="A147" i="4"/>
  <c r="R145" i="4" a="1"/>
  <c r="R145" i="4" s="1"/>
  <c r="Q145" i="4" a="1"/>
  <c r="Q145" i="4" s="1"/>
  <c r="P145" i="4" a="1"/>
  <c r="P145" i="4" s="1"/>
  <c r="O145" i="4" a="1"/>
  <c r="O145" i="4" s="1"/>
  <c r="N145" i="4" a="1"/>
  <c r="N145" i="4" s="1"/>
  <c r="M145" i="4" a="1"/>
  <c r="M145" i="4" s="1"/>
  <c r="L145" i="4" a="1"/>
  <c r="L145" i="4" s="1"/>
  <c r="K145" i="4" a="1"/>
  <c r="K145" i="4" s="1"/>
  <c r="J145" i="4" a="1"/>
  <c r="J145" i="4" s="1"/>
  <c r="B145" i="4" a="1"/>
  <c r="B145" i="4" s="1"/>
  <c r="A145" i="4"/>
  <c r="R144" i="4" a="1"/>
  <c r="R144" i="4" s="1"/>
  <c r="Q144" i="4" a="1"/>
  <c r="Q144" i="4" s="1"/>
  <c r="P144" i="4" a="1"/>
  <c r="P144" i="4" s="1"/>
  <c r="O144" i="4" a="1"/>
  <c r="O144" i="4" s="1"/>
  <c r="H144" i="4" a="1"/>
  <c r="H144" i="4" s="1"/>
  <c r="G144" i="4" a="1"/>
  <c r="G144" i="4" s="1"/>
  <c r="E144" i="4" a="1"/>
  <c r="E144" i="4" s="1"/>
  <c r="D144" i="4" a="1"/>
  <c r="D144" i="4" s="1"/>
  <c r="C144" i="4" a="1"/>
  <c r="C144" i="4" s="1"/>
  <c r="B144" i="4" a="1"/>
  <c r="B144" i="4" s="1"/>
  <c r="A144" i="4"/>
  <c r="T142" i="4" a="1"/>
  <c r="T142" i="4" s="1"/>
  <c r="S142" i="4" a="1"/>
  <c r="S142" i="4" s="1"/>
  <c r="R142" i="4" a="1"/>
  <c r="R142" i="4" s="1"/>
  <c r="Q142" i="4" a="1"/>
  <c r="Q142" i="4" s="1"/>
  <c r="P142" i="4" a="1"/>
  <c r="P142" i="4" s="1"/>
  <c r="O142" i="4" a="1"/>
  <c r="O142" i="4" s="1"/>
  <c r="N142" i="4" a="1"/>
  <c r="N142" i="4" s="1"/>
  <c r="G142" i="4" a="1"/>
  <c r="G142" i="4" s="1"/>
  <c r="B142" i="4" a="1"/>
  <c r="B142" i="4" s="1"/>
  <c r="A142" i="4"/>
  <c r="P141" i="4" a="1"/>
  <c r="P141" i="4" s="1"/>
  <c r="O141" i="4" a="1"/>
  <c r="O141" i="4" s="1"/>
  <c r="M141" i="4" a="1"/>
  <c r="M141" i="4" s="1"/>
  <c r="L141" i="4" a="1"/>
  <c r="L141" i="4" s="1"/>
  <c r="J141" i="4" a="1"/>
  <c r="J141" i="4" s="1"/>
  <c r="E141" i="4" a="1"/>
  <c r="E141" i="4" s="1"/>
  <c r="D141" i="4" a="1"/>
  <c r="D141" i="4" s="1"/>
  <c r="C141" i="4" a="1"/>
  <c r="C141" i="4" s="1"/>
  <c r="B141" i="4" a="1"/>
  <c r="B141" i="4" s="1"/>
  <c r="A141" i="4"/>
  <c r="V139" i="4" a="1"/>
  <c r="V139" i="4" s="1"/>
  <c r="T139" i="4" a="1"/>
  <c r="T139" i="4" s="1"/>
  <c r="S139" i="4" a="1"/>
  <c r="S139" i="4" s="1"/>
  <c r="R139" i="4" a="1"/>
  <c r="R139" i="4" s="1"/>
  <c r="Q139" i="4" a="1"/>
  <c r="Q139" i="4" s="1"/>
  <c r="P139" i="4" a="1"/>
  <c r="P139" i="4" s="1"/>
  <c r="I139" i="4" a="1"/>
  <c r="I139" i="4" s="1"/>
  <c r="H139" i="4" a="1"/>
  <c r="H139" i="4" s="1"/>
  <c r="G139" i="4" a="1"/>
  <c r="G139" i="4" s="1"/>
  <c r="B139" i="4" a="1"/>
  <c r="B139" i="4" s="1"/>
  <c r="A139" i="4"/>
  <c r="E138" i="4" a="1"/>
  <c r="E138" i="4" s="1"/>
  <c r="D138" i="4" a="1"/>
  <c r="D138" i="4" s="1"/>
  <c r="C138" i="4" a="1"/>
  <c r="C138" i="4" s="1"/>
  <c r="B138" i="4" a="1"/>
  <c r="B138" i="4" s="1"/>
  <c r="A138" i="4"/>
  <c r="V136" i="4" a="1"/>
  <c r="V136" i="4" s="1"/>
  <c r="T136" i="4" a="1"/>
  <c r="T136" i="4" s="1"/>
  <c r="S136" i="4" a="1"/>
  <c r="S136" i="4" s="1"/>
  <c r="R136" i="4" a="1"/>
  <c r="R136" i="4" s="1"/>
  <c r="Q136" i="4" a="1"/>
  <c r="Q136" i="4" s="1"/>
  <c r="P136" i="4" a="1"/>
  <c r="P136" i="4" s="1"/>
  <c r="O136" i="4" a="1"/>
  <c r="O136" i="4" s="1"/>
  <c r="K136" i="4" a="1"/>
  <c r="K136" i="4" s="1"/>
  <c r="J136" i="4" a="1"/>
  <c r="J136" i="4" s="1"/>
  <c r="I136" i="4" a="1"/>
  <c r="I136" i="4" s="1"/>
  <c r="H136" i="4" a="1"/>
  <c r="H136" i="4" s="1"/>
  <c r="G136" i="4" a="1"/>
  <c r="G136" i="4" s="1"/>
  <c r="B136" i="4" a="1"/>
  <c r="B136" i="4" s="1"/>
  <c r="A136" i="4"/>
  <c r="E135" i="4" a="1"/>
  <c r="E135" i="4" s="1"/>
  <c r="D135" i="4" a="1"/>
  <c r="D135" i="4" s="1"/>
  <c r="C135" i="4" a="1"/>
  <c r="C135" i="4" s="1"/>
  <c r="B135" i="4" a="1"/>
  <c r="B135" i="4" s="1"/>
  <c r="A135" i="4"/>
  <c r="S133" i="4" a="1"/>
  <c r="S133" i="4" s="1"/>
  <c r="P133" i="4" a="1"/>
  <c r="P133" i="4" s="1"/>
  <c r="B133" i="4" a="1"/>
  <c r="B133" i="4" s="1"/>
  <c r="A133" i="4"/>
  <c r="E132" i="4" a="1"/>
  <c r="E132" i="4" s="1"/>
  <c r="D132" i="4" a="1"/>
  <c r="D132" i="4" s="1"/>
  <c r="C132" i="4" a="1"/>
  <c r="C132" i="4" s="1"/>
  <c r="B132" i="4" a="1"/>
  <c r="B132" i="4" s="1"/>
  <c r="A132" i="4"/>
  <c r="V130" i="4" a="1"/>
  <c r="V130" i="4" s="1"/>
  <c r="T130" i="4" a="1"/>
  <c r="T130" i="4" s="1"/>
  <c r="S130" i="4" a="1"/>
  <c r="S130" i="4" s="1"/>
  <c r="R130" i="4" a="1"/>
  <c r="R130" i="4" s="1"/>
  <c r="Q130" i="4" a="1"/>
  <c r="Q130" i="4" s="1"/>
  <c r="P130" i="4" a="1"/>
  <c r="P130" i="4" s="1"/>
  <c r="O130" i="4" a="1"/>
  <c r="O130" i="4" s="1"/>
  <c r="N130" i="4" a="1"/>
  <c r="N130" i="4" s="1"/>
  <c r="M130" i="4" a="1"/>
  <c r="M130" i="4" s="1"/>
  <c r="L130" i="4" a="1"/>
  <c r="L130" i="4" s="1"/>
  <c r="K130" i="4" a="1"/>
  <c r="K130" i="4" s="1"/>
  <c r="J130" i="4" a="1"/>
  <c r="J130" i="4" s="1"/>
  <c r="I130" i="4" a="1"/>
  <c r="I130" i="4" s="1"/>
  <c r="H130" i="4" a="1"/>
  <c r="H130" i="4" s="1"/>
  <c r="G130" i="4" a="1"/>
  <c r="G130" i="4" s="1"/>
  <c r="B130" i="4" a="1"/>
  <c r="B130" i="4" s="1"/>
  <c r="A130" i="4"/>
  <c r="T129" i="4" a="1"/>
  <c r="T129" i="4" s="1"/>
  <c r="S129" i="4" a="1"/>
  <c r="S129" i="4" s="1"/>
  <c r="R129" i="4" a="1"/>
  <c r="R129" i="4" s="1"/>
  <c r="O129" i="4" a="1"/>
  <c r="O129" i="4" s="1"/>
  <c r="M129" i="4" a="1"/>
  <c r="M129" i="4" s="1"/>
  <c r="E129" i="4" a="1"/>
  <c r="E129" i="4" s="1"/>
  <c r="D129" i="4" a="1"/>
  <c r="D129" i="4" s="1"/>
  <c r="C129" i="4" a="1"/>
  <c r="C129" i="4" s="1"/>
  <c r="B129" i="4" a="1"/>
  <c r="B129" i="4" s="1"/>
  <c r="A129" i="4"/>
  <c r="V127" i="4" a="1"/>
  <c r="V127" i="4" s="1"/>
  <c r="T127" i="4" a="1"/>
  <c r="T127" i="4" s="1"/>
  <c r="S127" i="4" a="1"/>
  <c r="S127" i="4" s="1"/>
  <c r="R127" i="4" a="1"/>
  <c r="R127" i="4" s="1"/>
  <c r="Q127" i="4" a="1"/>
  <c r="Q127" i="4" s="1"/>
  <c r="P127" i="4" a="1"/>
  <c r="P127" i="4" s="1"/>
  <c r="O127" i="4" a="1"/>
  <c r="O127" i="4" s="1"/>
  <c r="N127" i="4" a="1"/>
  <c r="N127" i="4" s="1"/>
  <c r="M127" i="4" a="1"/>
  <c r="M127" i="4" s="1"/>
  <c r="L127" i="4" a="1"/>
  <c r="L127" i="4" s="1"/>
  <c r="K127" i="4" a="1"/>
  <c r="K127" i="4" s="1"/>
  <c r="J127" i="4" a="1"/>
  <c r="J127" i="4" s="1"/>
  <c r="I127" i="4" a="1"/>
  <c r="I127" i="4" s="1"/>
  <c r="H127" i="4" a="1"/>
  <c r="H127" i="4" s="1"/>
  <c r="G127" i="4" a="1"/>
  <c r="G127" i="4" s="1"/>
  <c r="B127" i="4" a="1"/>
  <c r="B127" i="4" s="1"/>
  <c r="A127" i="4"/>
  <c r="O126" i="4" a="1"/>
  <c r="O126" i="4" s="1"/>
  <c r="N126" i="4" a="1"/>
  <c r="N126" i="4" s="1"/>
  <c r="M126" i="4" a="1"/>
  <c r="M126" i="4" s="1"/>
  <c r="E126" i="4" a="1"/>
  <c r="E126" i="4" s="1"/>
  <c r="D126" i="4" a="1"/>
  <c r="D126" i="4" s="1"/>
  <c r="C126" i="4" a="1"/>
  <c r="C126" i="4" s="1"/>
  <c r="B126" i="4" a="1"/>
  <c r="B126" i="4" s="1"/>
  <c r="A126" i="4"/>
  <c r="V124" i="4" a="1"/>
  <c r="V124" i="4" s="1"/>
  <c r="T124" i="4" a="1"/>
  <c r="T124" i="4" s="1"/>
  <c r="S124" i="4" a="1"/>
  <c r="S124" i="4" s="1"/>
  <c r="R124" i="4" a="1"/>
  <c r="R124" i="4" s="1"/>
  <c r="Q124" i="4" a="1"/>
  <c r="Q124" i="4" s="1"/>
  <c r="P124" i="4" a="1"/>
  <c r="P124" i="4" s="1"/>
  <c r="O124" i="4" a="1"/>
  <c r="O124" i="4" s="1"/>
  <c r="N124" i="4" a="1"/>
  <c r="N124" i="4" s="1"/>
  <c r="M124" i="4" a="1"/>
  <c r="M124" i="4" s="1"/>
  <c r="L124" i="4" a="1"/>
  <c r="L124" i="4" s="1"/>
  <c r="K124" i="4" a="1"/>
  <c r="K124" i="4" s="1"/>
  <c r="J124" i="4" a="1"/>
  <c r="J124" i="4" s="1"/>
  <c r="I124" i="4" a="1"/>
  <c r="I124" i="4" s="1"/>
  <c r="H124" i="4" a="1"/>
  <c r="H124" i="4" s="1"/>
  <c r="G124" i="4" a="1"/>
  <c r="G124" i="4" s="1"/>
  <c r="B124" i="4" a="1"/>
  <c r="B124" i="4" s="1"/>
  <c r="A124" i="4"/>
  <c r="V123" i="4" a="1"/>
  <c r="V123" i="4" s="1"/>
  <c r="U123" i="4" a="1"/>
  <c r="U123" i="4" s="1"/>
  <c r="U125" i="4" s="1" a="1"/>
  <c r="U125" i="4" s="1"/>
  <c r="T123" i="4" a="1"/>
  <c r="T123" i="4" s="1"/>
  <c r="O123" i="4" a="1"/>
  <c r="O123" i="4" s="1"/>
  <c r="M123" i="4" a="1"/>
  <c r="M123" i="4" s="1"/>
  <c r="L123" i="4" a="1"/>
  <c r="L123" i="4" s="1"/>
  <c r="K123" i="4" a="1"/>
  <c r="K123" i="4" s="1"/>
  <c r="I123" i="4" a="1"/>
  <c r="I123" i="4" s="1"/>
  <c r="G123" i="4" a="1"/>
  <c r="G123" i="4" s="1"/>
  <c r="E123" i="4" a="1"/>
  <c r="E123" i="4" s="1"/>
  <c r="D123" i="4" a="1"/>
  <c r="D123" i="4" s="1"/>
  <c r="C123" i="4" a="1"/>
  <c r="C123" i="4" s="1"/>
  <c r="B123" i="4" a="1"/>
  <c r="B123" i="4" s="1"/>
  <c r="A123" i="4"/>
  <c r="V121" i="4" a="1"/>
  <c r="V121" i="4" s="1"/>
  <c r="T121" i="4" a="1"/>
  <c r="T121" i="4" s="1"/>
  <c r="S121" i="4" a="1"/>
  <c r="S121" i="4" s="1"/>
  <c r="R121" i="4" a="1"/>
  <c r="R121" i="4" s="1"/>
  <c r="Q121" i="4" a="1"/>
  <c r="Q121" i="4" s="1"/>
  <c r="P121" i="4" a="1"/>
  <c r="P121" i="4" s="1"/>
  <c r="O121" i="4" a="1"/>
  <c r="O121" i="4" s="1"/>
  <c r="N121" i="4" a="1"/>
  <c r="N121" i="4" s="1"/>
  <c r="M121" i="4" a="1"/>
  <c r="M121" i="4" s="1"/>
  <c r="L121" i="4" a="1"/>
  <c r="L121" i="4" s="1"/>
  <c r="K121" i="4" a="1"/>
  <c r="K121" i="4" s="1"/>
  <c r="J121" i="4" a="1"/>
  <c r="J121" i="4" s="1"/>
  <c r="I121" i="4" a="1"/>
  <c r="I121" i="4" s="1"/>
  <c r="H121" i="4" a="1"/>
  <c r="H121" i="4" s="1"/>
  <c r="G121" i="4" a="1"/>
  <c r="G121" i="4" s="1"/>
  <c r="B121" i="4" a="1"/>
  <c r="B121" i="4" s="1"/>
  <c r="A121" i="4"/>
  <c r="V120" i="4" a="1"/>
  <c r="V120" i="4" s="1"/>
  <c r="S120" i="4" a="1"/>
  <c r="S120" i="4" s="1"/>
  <c r="O120" i="4" a="1"/>
  <c r="O120" i="4" s="1"/>
  <c r="L120" i="4" a="1"/>
  <c r="L120" i="4" s="1"/>
  <c r="K120" i="4" a="1"/>
  <c r="K120" i="4" s="1"/>
  <c r="E120" i="4" a="1"/>
  <c r="E120" i="4" s="1"/>
  <c r="D120" i="4" a="1"/>
  <c r="D120" i="4" s="1"/>
  <c r="C120" i="4" a="1"/>
  <c r="C120" i="4" s="1"/>
  <c r="B120" i="4" a="1"/>
  <c r="B120" i="4" s="1"/>
  <c r="A120" i="4"/>
  <c r="V118" i="4" a="1"/>
  <c r="V118" i="4" s="1"/>
  <c r="T118" i="4" a="1"/>
  <c r="T118" i="4" s="1"/>
  <c r="S118" i="4" a="1"/>
  <c r="S118" i="4" s="1"/>
  <c r="R118" i="4" a="1"/>
  <c r="R118" i="4" s="1"/>
  <c r="Q118" i="4" a="1"/>
  <c r="Q118" i="4" s="1"/>
  <c r="P118" i="4" a="1"/>
  <c r="P118" i="4" s="1"/>
  <c r="O118" i="4" a="1"/>
  <c r="O118" i="4" s="1"/>
  <c r="N118" i="4" a="1"/>
  <c r="N118" i="4" s="1"/>
  <c r="M118" i="4" a="1"/>
  <c r="M118" i="4" s="1"/>
  <c r="L118" i="4" a="1"/>
  <c r="L118" i="4" s="1"/>
  <c r="K118" i="4" a="1"/>
  <c r="K118" i="4" s="1"/>
  <c r="J118" i="4" a="1"/>
  <c r="J118" i="4" s="1"/>
  <c r="I118" i="4" a="1"/>
  <c r="I118" i="4" s="1"/>
  <c r="H118" i="4" a="1"/>
  <c r="H118" i="4" s="1"/>
  <c r="G118" i="4" a="1"/>
  <c r="G118" i="4" s="1"/>
  <c r="B118" i="4" a="1"/>
  <c r="B118" i="4" s="1"/>
  <c r="A118" i="4"/>
  <c r="V117" i="4" a="1"/>
  <c r="V117" i="4" s="1"/>
  <c r="U117" i="4" a="1"/>
  <c r="U117" i="4" s="1"/>
  <c r="U119" i="4" s="1" a="1"/>
  <c r="U119" i="4" s="1"/>
  <c r="S117" i="4" a="1"/>
  <c r="S117" i="4" s="1"/>
  <c r="O117" i="4" a="1"/>
  <c r="O117" i="4" s="1"/>
  <c r="J117" i="4" a="1"/>
  <c r="J117" i="4" s="1"/>
  <c r="I117" i="4" a="1"/>
  <c r="I117" i="4" s="1"/>
  <c r="H117" i="4" a="1"/>
  <c r="H117" i="4" s="1"/>
  <c r="E117" i="4" a="1"/>
  <c r="E117" i="4" s="1"/>
  <c r="D117" i="4" a="1"/>
  <c r="D117" i="4" s="1"/>
  <c r="C117" i="4" a="1"/>
  <c r="C117" i="4" s="1"/>
  <c r="B117" i="4" a="1"/>
  <c r="B117" i="4" s="1"/>
  <c r="A117" i="4"/>
  <c r="V115" i="4" a="1"/>
  <c r="V115" i="4" s="1"/>
  <c r="T115" i="4" a="1"/>
  <c r="T115" i="4" s="1"/>
  <c r="S115" i="4" a="1"/>
  <c r="S115" i="4" s="1"/>
  <c r="R115" i="4" a="1"/>
  <c r="R115" i="4" s="1"/>
  <c r="Q115" i="4" a="1"/>
  <c r="Q115" i="4" s="1"/>
  <c r="P115" i="4" a="1"/>
  <c r="P115" i="4" s="1"/>
  <c r="O115" i="4" a="1"/>
  <c r="O115" i="4" s="1"/>
  <c r="N115" i="4" a="1"/>
  <c r="N115" i="4" s="1"/>
  <c r="M115" i="4" a="1"/>
  <c r="M115" i="4" s="1"/>
  <c r="L115" i="4" a="1"/>
  <c r="L115" i="4" s="1"/>
  <c r="K115" i="4" a="1"/>
  <c r="K115" i="4" s="1"/>
  <c r="J115" i="4" a="1"/>
  <c r="J115" i="4" s="1"/>
  <c r="I115" i="4" a="1"/>
  <c r="I115" i="4" s="1"/>
  <c r="H115" i="4" a="1"/>
  <c r="H115" i="4" s="1"/>
  <c r="G115" i="4" a="1"/>
  <c r="G115" i="4" s="1"/>
  <c r="B115" i="4" a="1"/>
  <c r="B115" i="4"/>
  <c r="A115" i="4"/>
  <c r="S114" i="4" a="1"/>
  <c r="S114" i="4" s="1"/>
  <c r="O114" i="4" a="1"/>
  <c r="O114" i="4" s="1"/>
  <c r="N114" i="4" a="1"/>
  <c r="N114" i="4" s="1"/>
  <c r="H114" i="4" a="1"/>
  <c r="H114" i="4" s="1"/>
  <c r="G114" i="4" a="1"/>
  <c r="G114" i="4" s="1"/>
  <c r="E114" i="4" a="1"/>
  <c r="E114" i="4" s="1"/>
  <c r="D114" i="4" a="1"/>
  <c r="D114" i="4" s="1"/>
  <c r="C114" i="4" a="1"/>
  <c r="C114" i="4" s="1"/>
  <c r="B114" i="4" a="1"/>
  <c r="B114" i="4" s="1"/>
  <c r="A114" i="4"/>
  <c r="V112" i="4" a="1"/>
  <c r="V112" i="4" s="1"/>
  <c r="T112" i="4" a="1"/>
  <c r="T112" i="4" s="1"/>
  <c r="S112" i="4" a="1"/>
  <c r="S112" i="4" s="1"/>
  <c r="R112" i="4" a="1"/>
  <c r="R112" i="4" s="1"/>
  <c r="Q112" i="4" a="1"/>
  <c r="Q112" i="4" s="1"/>
  <c r="P112" i="4" a="1"/>
  <c r="P112" i="4" s="1"/>
  <c r="O112" i="4" a="1"/>
  <c r="O112" i="4" s="1"/>
  <c r="N112" i="4" a="1"/>
  <c r="N112" i="4" s="1"/>
  <c r="M112" i="4" a="1"/>
  <c r="M112" i="4" s="1"/>
  <c r="L112" i="4" a="1"/>
  <c r="L112" i="4" s="1"/>
  <c r="K112" i="4" a="1"/>
  <c r="K112" i="4" s="1"/>
  <c r="J112" i="4" a="1"/>
  <c r="J112" i="4" s="1"/>
  <c r="I112" i="4" a="1"/>
  <c r="I112" i="4" s="1"/>
  <c r="H112" i="4" a="1"/>
  <c r="H112" i="4" s="1"/>
  <c r="G112" i="4" a="1"/>
  <c r="G112" i="4" s="1"/>
  <c r="B112" i="4" a="1"/>
  <c r="B112" i="4" s="1"/>
  <c r="A112" i="4"/>
  <c r="V111" i="4" a="1"/>
  <c r="V111" i="4" s="1"/>
  <c r="U111" i="4" a="1"/>
  <c r="U111" i="4" s="1"/>
  <c r="U113" i="4" s="1" a="1"/>
  <c r="U113" i="4" s="1"/>
  <c r="Q111" i="4" a="1"/>
  <c r="Q111" i="4" s="1"/>
  <c r="O111" i="4" a="1"/>
  <c r="O111" i="4" s="1"/>
  <c r="E111" i="4" a="1"/>
  <c r="E111" i="4" s="1"/>
  <c r="D111" i="4" a="1"/>
  <c r="D111" i="4" s="1"/>
  <c r="C111" i="4" a="1"/>
  <c r="C111" i="4" s="1"/>
  <c r="B111" i="4" a="1"/>
  <c r="B111" i="4" s="1"/>
  <c r="A111" i="4"/>
  <c r="V109" i="4" a="1"/>
  <c r="V109" i="4" s="1"/>
  <c r="T109" i="4" a="1"/>
  <c r="T109" i="4" s="1"/>
  <c r="S109" i="4" a="1"/>
  <c r="S109" i="4" s="1"/>
  <c r="R109" i="4" a="1"/>
  <c r="R109" i="4" s="1"/>
  <c r="Q109" i="4" a="1"/>
  <c r="Q109" i="4" s="1"/>
  <c r="P109" i="4" a="1"/>
  <c r="P109" i="4" s="1"/>
  <c r="O109" i="4" a="1"/>
  <c r="O109" i="4" s="1"/>
  <c r="N109" i="4" a="1"/>
  <c r="N109" i="4" s="1"/>
  <c r="M109" i="4" a="1"/>
  <c r="M109" i="4" s="1"/>
  <c r="L109" i="4" a="1"/>
  <c r="L109" i="4" s="1"/>
  <c r="K109" i="4" a="1"/>
  <c r="K109" i="4" s="1"/>
  <c r="J109" i="4" a="1"/>
  <c r="J109" i="4" s="1"/>
  <c r="I109" i="4" a="1"/>
  <c r="I109" i="4" s="1"/>
  <c r="H109" i="4" a="1"/>
  <c r="H109" i="4" s="1"/>
  <c r="G109" i="4" a="1"/>
  <c r="G109" i="4" s="1"/>
  <c r="B109" i="4" a="1"/>
  <c r="B109" i="4" s="1"/>
  <c r="A109" i="4"/>
  <c r="R108" i="4" a="1"/>
  <c r="R108" i="4" s="1"/>
  <c r="O108" i="4" a="1"/>
  <c r="O108" i="4" s="1"/>
  <c r="M108" i="4" a="1"/>
  <c r="M108" i="4" s="1"/>
  <c r="K108" i="4" a="1"/>
  <c r="K108" i="4" s="1"/>
  <c r="E108" i="4" a="1"/>
  <c r="E108" i="4" s="1"/>
  <c r="D108" i="4" a="1"/>
  <c r="D108" i="4" s="1"/>
  <c r="C108" i="4" a="1"/>
  <c r="C108" i="4" s="1"/>
  <c r="B108" i="4" a="1"/>
  <c r="B108" i="4" s="1"/>
  <c r="A108" i="4"/>
  <c r="V106" i="4" a="1"/>
  <c r="V106" i="4" s="1"/>
  <c r="T106" i="4" a="1"/>
  <c r="T106" i="4" s="1"/>
  <c r="S106" i="4" a="1"/>
  <c r="S106" i="4" s="1"/>
  <c r="R106" i="4" a="1"/>
  <c r="R106" i="4" s="1"/>
  <c r="Q106" i="4" a="1"/>
  <c r="Q106" i="4" s="1"/>
  <c r="P106" i="4" a="1"/>
  <c r="P106" i="4" s="1"/>
  <c r="O106" i="4" a="1"/>
  <c r="O106" i="4" s="1"/>
  <c r="N106" i="4" a="1"/>
  <c r="N106" i="4" s="1"/>
  <c r="M106" i="4" a="1"/>
  <c r="M106" i="4" s="1"/>
  <c r="L106" i="4" a="1"/>
  <c r="L106" i="4" s="1"/>
  <c r="K106" i="4" a="1"/>
  <c r="K106" i="4" s="1"/>
  <c r="J106" i="4" a="1"/>
  <c r="J106" i="4" s="1"/>
  <c r="I106" i="4" a="1"/>
  <c r="I106" i="4" s="1"/>
  <c r="H106" i="4" a="1"/>
  <c r="H106" i="4" s="1"/>
  <c r="G106" i="4" a="1"/>
  <c r="G106" i="4" s="1"/>
  <c r="B106" i="4" a="1"/>
  <c r="B106" i="4" s="1"/>
  <c r="A106" i="4"/>
  <c r="V105" i="4" a="1"/>
  <c r="V105" i="4" s="1"/>
  <c r="S105" i="4" a="1"/>
  <c r="S105" i="4" s="1"/>
  <c r="R105" i="4" a="1"/>
  <c r="R105" i="4" s="1"/>
  <c r="O105" i="4" a="1"/>
  <c r="O105" i="4" s="1"/>
  <c r="L105" i="4" a="1"/>
  <c r="L105" i="4" s="1"/>
  <c r="K105" i="4" a="1"/>
  <c r="K105" i="4" s="1"/>
  <c r="J105" i="4" a="1"/>
  <c r="J105" i="4" s="1"/>
  <c r="E105" i="4" a="1"/>
  <c r="E105" i="4" s="1"/>
  <c r="D105" i="4" a="1"/>
  <c r="D105" i="4" s="1"/>
  <c r="C105" i="4" a="1"/>
  <c r="C105" i="4" s="1"/>
  <c r="B105" i="4" a="1"/>
  <c r="B105" i="4" s="1"/>
  <c r="A105" i="4"/>
  <c r="V103" i="4" a="1"/>
  <c r="V103" i="4" s="1"/>
  <c r="T103" i="4" a="1"/>
  <c r="T103" i="4" s="1"/>
  <c r="S103" i="4" a="1"/>
  <c r="S103" i="4" s="1"/>
  <c r="R103" i="4" a="1"/>
  <c r="R103" i="4" s="1"/>
  <c r="Q103" i="4" a="1"/>
  <c r="Q103" i="4" s="1"/>
  <c r="P103" i="4" a="1"/>
  <c r="P103" i="4" s="1"/>
  <c r="O103" i="4" a="1"/>
  <c r="O103" i="4" s="1"/>
  <c r="N103" i="4" a="1"/>
  <c r="N103" i="4" s="1"/>
  <c r="M103" i="4" a="1"/>
  <c r="M103" i="4" s="1"/>
  <c r="L103" i="4" a="1"/>
  <c r="L103" i="4" s="1"/>
  <c r="K103" i="4" a="1"/>
  <c r="K103" i="4" s="1"/>
  <c r="J103" i="4" a="1"/>
  <c r="J103" i="4" s="1"/>
  <c r="I103" i="4" a="1"/>
  <c r="I103" i="4" s="1"/>
  <c r="H103" i="4" a="1"/>
  <c r="H103" i="4" s="1"/>
  <c r="G103" i="4" a="1"/>
  <c r="G103" i="4" s="1"/>
  <c r="B103" i="4" a="1"/>
  <c r="B103" i="4" s="1"/>
  <c r="A103" i="4"/>
  <c r="U102" i="4" a="1"/>
  <c r="U102" i="4" s="1"/>
  <c r="U104" i="4" s="1" a="1"/>
  <c r="U104" i="4" s="1"/>
  <c r="T102" i="4" a="1"/>
  <c r="T102" i="4" s="1"/>
  <c r="S102" i="4" a="1"/>
  <c r="S102" i="4" s="1"/>
  <c r="O102" i="4" a="1"/>
  <c r="O102" i="4" s="1"/>
  <c r="I102" i="4" a="1"/>
  <c r="I102" i="4" s="1"/>
  <c r="H102" i="4" a="1"/>
  <c r="H102" i="4" s="1"/>
  <c r="E102" i="4" a="1"/>
  <c r="E102" i="4" s="1"/>
  <c r="D102" i="4" a="1"/>
  <c r="D102" i="4" s="1"/>
  <c r="C102" i="4" a="1"/>
  <c r="C102" i="4" s="1"/>
  <c r="B102" i="4" a="1"/>
  <c r="B102" i="4" s="1"/>
  <c r="A102" i="4"/>
  <c r="V100" i="4" a="1"/>
  <c r="V100" i="4" s="1"/>
  <c r="T100" i="4" a="1"/>
  <c r="T100" i="4" s="1"/>
  <c r="S100" i="4" a="1"/>
  <c r="S100" i="4" s="1"/>
  <c r="R100" i="4" a="1"/>
  <c r="R100" i="4" s="1"/>
  <c r="Q100" i="4" a="1"/>
  <c r="Q100" i="4" s="1"/>
  <c r="P100" i="4" a="1"/>
  <c r="P100" i="4" s="1"/>
  <c r="O100" i="4" a="1"/>
  <c r="O100" i="4" s="1"/>
  <c r="N100" i="4" a="1"/>
  <c r="N100" i="4" s="1"/>
  <c r="M100" i="4" a="1"/>
  <c r="M100" i="4" s="1"/>
  <c r="L100" i="4" a="1"/>
  <c r="L100" i="4" s="1"/>
  <c r="K100" i="4" a="1"/>
  <c r="K100" i="4" s="1"/>
  <c r="J100" i="4" a="1"/>
  <c r="J100" i="4" s="1"/>
  <c r="I100" i="4" a="1"/>
  <c r="I100" i="4" s="1"/>
  <c r="H100" i="4" a="1"/>
  <c r="H100" i="4" s="1"/>
  <c r="G100" i="4" a="1"/>
  <c r="G100" i="4" s="1"/>
  <c r="B100" i="4" a="1"/>
  <c r="B100" i="4" s="1"/>
  <c r="A100" i="4"/>
  <c r="S99" i="4" a="1"/>
  <c r="S99" i="4" s="1"/>
  <c r="R99" i="4" a="1"/>
  <c r="R99" i="4" s="1"/>
  <c r="Q99" i="4" a="1"/>
  <c r="Q99" i="4" s="1"/>
  <c r="O99" i="4" a="1"/>
  <c r="O99" i="4" s="1"/>
  <c r="N99" i="4" a="1"/>
  <c r="N99" i="4" s="1"/>
  <c r="G99" i="4" a="1"/>
  <c r="G99" i="4" s="1"/>
  <c r="E99" i="4" a="1"/>
  <c r="E99" i="4" s="1"/>
  <c r="D99" i="4" a="1"/>
  <c r="D99" i="4" s="1"/>
  <c r="C99" i="4" a="1"/>
  <c r="C99" i="4" s="1"/>
  <c r="B99" i="4" a="1"/>
  <c r="B99" i="4" s="1"/>
  <c r="A99" i="4"/>
  <c r="V97" i="4" a="1"/>
  <c r="V97" i="4" s="1"/>
  <c r="T97" i="4" a="1"/>
  <c r="T97" i="4" s="1"/>
  <c r="S97" i="4" a="1"/>
  <c r="S97" i="4" s="1"/>
  <c r="R97" i="4" a="1"/>
  <c r="R97" i="4" s="1"/>
  <c r="Q97" i="4" a="1"/>
  <c r="Q97" i="4" s="1"/>
  <c r="P97" i="4" a="1"/>
  <c r="P97" i="4" s="1"/>
  <c r="O97" i="4" a="1"/>
  <c r="O97" i="4" s="1"/>
  <c r="N97" i="4" a="1"/>
  <c r="N97" i="4" s="1"/>
  <c r="M97" i="4" a="1"/>
  <c r="M97" i="4" s="1"/>
  <c r="L97" i="4" a="1"/>
  <c r="L97" i="4" s="1"/>
  <c r="K97" i="4" a="1"/>
  <c r="K97" i="4" s="1"/>
  <c r="J97" i="4" a="1"/>
  <c r="J97" i="4" s="1"/>
  <c r="I97" i="4" a="1"/>
  <c r="I97" i="4" s="1"/>
  <c r="H97" i="4" a="1"/>
  <c r="H97" i="4" s="1"/>
  <c r="G97" i="4" a="1"/>
  <c r="G97" i="4" s="1"/>
  <c r="B97" i="4" a="1"/>
  <c r="B97" i="4" s="1"/>
  <c r="A97" i="4"/>
  <c r="S96" i="4" a="1"/>
  <c r="S96" i="4" s="1"/>
  <c r="Q96" i="4" a="1"/>
  <c r="Q96" i="4" s="1"/>
  <c r="P96" i="4" a="1"/>
  <c r="P96" i="4" s="1"/>
  <c r="O96" i="4" a="1"/>
  <c r="O96" i="4" s="1"/>
  <c r="M96" i="4" a="1"/>
  <c r="M96" i="4" s="1"/>
  <c r="E96" i="4" a="1"/>
  <c r="E96" i="4" s="1"/>
  <c r="D96" i="4" a="1"/>
  <c r="D96" i="4" s="1"/>
  <c r="C96" i="4" a="1"/>
  <c r="C96" i="4" s="1"/>
  <c r="B96" i="4" a="1"/>
  <c r="B96" i="4" s="1"/>
  <c r="A96" i="4"/>
  <c r="V94" i="4" a="1"/>
  <c r="V94" i="4" s="1"/>
  <c r="T94" i="4" a="1"/>
  <c r="T94" i="4" s="1"/>
  <c r="S94" i="4" a="1"/>
  <c r="S94" i="4" s="1"/>
  <c r="R94" i="4" a="1"/>
  <c r="R94" i="4" s="1"/>
  <c r="Q94" i="4" a="1"/>
  <c r="Q94" i="4" s="1"/>
  <c r="P94" i="4" a="1"/>
  <c r="P94" i="4" s="1"/>
  <c r="O94" i="4" a="1"/>
  <c r="O94" i="4" s="1"/>
  <c r="N94" i="4" a="1"/>
  <c r="N94" i="4" s="1"/>
  <c r="M94" i="4" a="1"/>
  <c r="M94" i="4" s="1"/>
  <c r="L94" i="4" a="1"/>
  <c r="L94" i="4" s="1"/>
  <c r="K94" i="4" a="1"/>
  <c r="K94" i="4" s="1"/>
  <c r="J94" i="4" a="1"/>
  <c r="J94" i="4" s="1"/>
  <c r="I94" i="4" a="1"/>
  <c r="I94" i="4" s="1"/>
  <c r="H94" i="4" a="1"/>
  <c r="H94" i="4" s="1"/>
  <c r="G94" i="4" a="1"/>
  <c r="G94" i="4" s="1"/>
  <c r="B94" i="4" a="1"/>
  <c r="B94" i="4" s="1"/>
  <c r="A94" i="4"/>
  <c r="R93" i="4" a="1"/>
  <c r="R93" i="4" s="1"/>
  <c r="O93" i="4" a="1"/>
  <c r="O93" i="4" s="1"/>
  <c r="N93" i="4" a="1"/>
  <c r="N93" i="4" s="1"/>
  <c r="E93" i="4" a="1"/>
  <c r="E93" i="4" s="1"/>
  <c r="D93" i="4" a="1"/>
  <c r="D93" i="4" s="1"/>
  <c r="C93" i="4" a="1"/>
  <c r="C93" i="4" s="1"/>
  <c r="B93" i="4" a="1"/>
  <c r="B93" i="4" s="1"/>
  <c r="A93" i="4"/>
  <c r="V91" i="4" a="1"/>
  <c r="V91" i="4" s="1"/>
  <c r="T91" i="4" a="1"/>
  <c r="T91" i="4" s="1"/>
  <c r="S91" i="4" a="1"/>
  <c r="S91" i="4" s="1"/>
  <c r="R91" i="4" a="1"/>
  <c r="R91" i="4" s="1"/>
  <c r="Q91" i="4" a="1"/>
  <c r="Q91" i="4" s="1"/>
  <c r="P91" i="4" a="1"/>
  <c r="P91" i="4" s="1"/>
  <c r="O91" i="4" a="1"/>
  <c r="O91" i="4" s="1"/>
  <c r="N91" i="4" a="1"/>
  <c r="N91" i="4" s="1"/>
  <c r="M91" i="4" a="1"/>
  <c r="M91" i="4" s="1"/>
  <c r="L91" i="4" a="1"/>
  <c r="L91" i="4" s="1"/>
  <c r="K91" i="4" a="1"/>
  <c r="K91" i="4" s="1"/>
  <c r="J91" i="4" a="1"/>
  <c r="J91" i="4" s="1"/>
  <c r="I91" i="4" a="1"/>
  <c r="I91" i="4" s="1"/>
  <c r="H91" i="4" a="1"/>
  <c r="H91" i="4" s="1"/>
  <c r="G91" i="4" a="1"/>
  <c r="G91" i="4" s="1"/>
  <c r="B91" i="4" a="1"/>
  <c r="B91" i="4" s="1"/>
  <c r="A91" i="4"/>
  <c r="V90" i="4" a="1"/>
  <c r="V90" i="4" s="1"/>
  <c r="O90" i="4" a="1"/>
  <c r="O90" i="4" s="1"/>
  <c r="M90" i="4" a="1"/>
  <c r="M90" i="4" s="1"/>
  <c r="K90" i="4" a="1"/>
  <c r="K90" i="4" s="1"/>
  <c r="I90" i="4" a="1"/>
  <c r="I90" i="4" s="1"/>
  <c r="E90" i="4" a="1"/>
  <c r="E90" i="4" s="1"/>
  <c r="D90" i="4" a="1"/>
  <c r="D90" i="4" s="1"/>
  <c r="C90" i="4" a="1"/>
  <c r="C90" i="4" s="1"/>
  <c r="B90" i="4" a="1"/>
  <c r="B90" i="4" s="1"/>
  <c r="A90" i="4"/>
  <c r="V88" i="4" a="1"/>
  <c r="V88" i="4" s="1"/>
  <c r="T88" i="4" a="1"/>
  <c r="T88" i="4" s="1"/>
  <c r="S88" i="4" a="1"/>
  <c r="S88" i="4" s="1"/>
  <c r="R88" i="4" a="1"/>
  <c r="R88" i="4" s="1"/>
  <c r="Q88" i="4" a="1"/>
  <c r="Q88" i="4" s="1"/>
  <c r="P88" i="4" a="1"/>
  <c r="P88" i="4" s="1"/>
  <c r="O88" i="4" a="1"/>
  <c r="O88" i="4" s="1"/>
  <c r="N88" i="4" a="1"/>
  <c r="N88" i="4" s="1"/>
  <c r="M88" i="4" a="1"/>
  <c r="M88" i="4" s="1"/>
  <c r="L88" i="4" a="1"/>
  <c r="L88" i="4" s="1"/>
  <c r="K88" i="4" a="1"/>
  <c r="K88" i="4" s="1"/>
  <c r="J88" i="4" a="1"/>
  <c r="J88" i="4" s="1"/>
  <c r="I88" i="4" a="1"/>
  <c r="I88" i="4" s="1"/>
  <c r="H88" i="4" a="1"/>
  <c r="H88" i="4" s="1"/>
  <c r="G88" i="4" a="1"/>
  <c r="G88" i="4" s="1"/>
  <c r="B88" i="4" a="1"/>
  <c r="B88" i="4" s="1"/>
  <c r="A88" i="4"/>
  <c r="V87" i="4" a="1"/>
  <c r="V87" i="4" s="1"/>
  <c r="S87" i="4" a="1"/>
  <c r="S87" i="4" s="1"/>
  <c r="R87" i="4" a="1"/>
  <c r="R87" i="4" s="1"/>
  <c r="O87" i="4" a="1"/>
  <c r="O87" i="4" s="1"/>
  <c r="N87" i="4" a="1"/>
  <c r="N87" i="4" s="1"/>
  <c r="K87" i="4" a="1"/>
  <c r="K87" i="4" s="1"/>
  <c r="I87" i="4" a="1"/>
  <c r="I87" i="4" s="1"/>
  <c r="H87" i="4" a="1"/>
  <c r="H87" i="4" s="1"/>
  <c r="G87" i="4" a="1"/>
  <c r="G87" i="4" s="1"/>
  <c r="E87" i="4" a="1"/>
  <c r="E87" i="4" s="1"/>
  <c r="D87" i="4" a="1"/>
  <c r="D87" i="4" s="1"/>
  <c r="C87" i="4" a="1"/>
  <c r="C87" i="4" s="1"/>
  <c r="B87" i="4" a="1"/>
  <c r="B87" i="4" s="1"/>
  <c r="A87" i="4"/>
  <c r="V85" i="4" a="1"/>
  <c r="V85" i="4" s="1"/>
  <c r="T85" i="4" a="1"/>
  <c r="T85" i="4" s="1"/>
  <c r="S85" i="4" a="1"/>
  <c r="S85" i="4" s="1"/>
  <c r="R85" i="4" a="1"/>
  <c r="R85" i="4" s="1"/>
  <c r="Q85" i="4" a="1"/>
  <c r="Q85" i="4" s="1"/>
  <c r="P85" i="4" a="1"/>
  <c r="P85" i="4" s="1"/>
  <c r="O85" i="4" a="1"/>
  <c r="O85" i="4" s="1"/>
  <c r="N85" i="4" a="1"/>
  <c r="N85" i="4" s="1"/>
  <c r="M85" i="4" a="1"/>
  <c r="M85" i="4" s="1"/>
  <c r="L85" i="4" a="1"/>
  <c r="L85" i="4" s="1"/>
  <c r="K85" i="4" a="1"/>
  <c r="K85" i="4" s="1"/>
  <c r="J85" i="4" a="1"/>
  <c r="J85" i="4" s="1"/>
  <c r="I85" i="4" a="1"/>
  <c r="I85" i="4" s="1"/>
  <c r="H85" i="4" a="1"/>
  <c r="H85" i="4" s="1"/>
  <c r="G85" i="4" a="1"/>
  <c r="G85" i="4" s="1"/>
  <c r="B85" i="4" a="1"/>
  <c r="B85" i="4" s="1"/>
  <c r="A85" i="4"/>
  <c r="S84" i="4" a="1"/>
  <c r="S84" i="4" s="1"/>
  <c r="O84" i="4" a="1"/>
  <c r="O84" i="4" s="1"/>
  <c r="H84" i="4" a="1"/>
  <c r="H84" i="4" s="1"/>
  <c r="E84" i="4" a="1"/>
  <c r="E84" i="4" s="1"/>
  <c r="D84" i="4" a="1"/>
  <c r="D84" i="4" s="1"/>
  <c r="C84" i="4" a="1"/>
  <c r="C84" i="4" s="1"/>
  <c r="B84" i="4" a="1"/>
  <c r="B84" i="4" s="1"/>
  <c r="A84" i="4"/>
  <c r="V82" i="4" a="1"/>
  <c r="V82" i="4" s="1"/>
  <c r="T82" i="4" a="1"/>
  <c r="T82" i="4" s="1"/>
  <c r="S82" i="4" a="1"/>
  <c r="S82" i="4" s="1"/>
  <c r="R82" i="4" a="1"/>
  <c r="R82" i="4" s="1"/>
  <c r="Q82" i="4" a="1"/>
  <c r="Q82" i="4" s="1"/>
  <c r="P82" i="4" a="1"/>
  <c r="P82" i="4" s="1"/>
  <c r="O82" i="4" a="1"/>
  <c r="O82" i="4" s="1"/>
  <c r="N82" i="4" a="1"/>
  <c r="N82" i="4" s="1"/>
  <c r="M82" i="4" a="1"/>
  <c r="M82" i="4" s="1"/>
  <c r="L82" i="4" a="1"/>
  <c r="L82" i="4" s="1"/>
  <c r="K82" i="4" a="1"/>
  <c r="K82" i="4" s="1"/>
  <c r="J82" i="4" a="1"/>
  <c r="J82" i="4" s="1"/>
  <c r="I82" i="4" a="1"/>
  <c r="I82" i="4" s="1"/>
  <c r="H82" i="4" a="1"/>
  <c r="H82" i="4" s="1"/>
  <c r="G82" i="4" a="1"/>
  <c r="G82" i="4" s="1"/>
  <c r="B82" i="4" a="1"/>
  <c r="B82" i="4" s="1"/>
  <c r="A82" i="4"/>
  <c r="S81" i="4" a="1"/>
  <c r="S81" i="4" s="1"/>
  <c r="Q81" i="4" a="1"/>
  <c r="Q81" i="4" s="1"/>
  <c r="O81" i="4" a="1"/>
  <c r="O81" i="4" s="1"/>
  <c r="N81" i="4" a="1"/>
  <c r="N81" i="4" s="1"/>
  <c r="E81" i="4" a="1"/>
  <c r="E81" i="4" s="1"/>
  <c r="D81" i="4" a="1"/>
  <c r="D81" i="4" s="1"/>
  <c r="C81" i="4" a="1"/>
  <c r="C81" i="4" s="1"/>
  <c r="B81" i="4" a="1"/>
  <c r="B81" i="4" s="1"/>
  <c r="A81" i="4"/>
  <c r="V79" i="4" a="1"/>
  <c r="V79" i="4" s="1"/>
  <c r="T79" i="4" a="1"/>
  <c r="T79" i="4" s="1"/>
  <c r="S79" i="4" a="1"/>
  <c r="S79" i="4" s="1"/>
  <c r="R79" i="4" a="1"/>
  <c r="R79" i="4" s="1"/>
  <c r="Q79" i="4" a="1"/>
  <c r="Q79" i="4" s="1"/>
  <c r="P79" i="4" a="1"/>
  <c r="P79" i="4" s="1"/>
  <c r="O79" i="4" a="1"/>
  <c r="O79" i="4" s="1"/>
  <c r="N79" i="4" a="1"/>
  <c r="N79" i="4" s="1"/>
  <c r="M79" i="4" a="1"/>
  <c r="M79" i="4" s="1"/>
  <c r="L79" i="4" a="1"/>
  <c r="L79" i="4" s="1"/>
  <c r="K79" i="4" a="1"/>
  <c r="K79" i="4" s="1"/>
  <c r="J79" i="4" a="1"/>
  <c r="J79" i="4" s="1"/>
  <c r="I79" i="4" a="1"/>
  <c r="I79" i="4" s="1"/>
  <c r="H79" i="4" a="1"/>
  <c r="H79" i="4" s="1"/>
  <c r="G79" i="4" a="1"/>
  <c r="G79" i="4" s="1"/>
  <c r="B79" i="4" a="1"/>
  <c r="B79" i="4" s="1"/>
  <c r="A79" i="4"/>
  <c r="P78" i="4" a="1"/>
  <c r="P78" i="4" s="1"/>
  <c r="O78" i="4" a="1"/>
  <c r="O78" i="4" s="1"/>
  <c r="M78" i="4" a="1"/>
  <c r="M78" i="4" s="1"/>
  <c r="K78" i="4" a="1"/>
  <c r="K78" i="4" s="1"/>
  <c r="E78" i="4" a="1"/>
  <c r="E78" i="4" s="1"/>
  <c r="D78" i="4" a="1"/>
  <c r="D78" i="4" s="1"/>
  <c r="C78" i="4" a="1"/>
  <c r="C78" i="4" s="1"/>
  <c r="B78" i="4" a="1"/>
  <c r="B78" i="4" s="1"/>
  <c r="A78" i="4"/>
  <c r="V76" i="4" a="1"/>
  <c r="V76" i="4" s="1"/>
  <c r="T76" i="4" a="1"/>
  <c r="T76" i="4" s="1"/>
  <c r="S76" i="4" a="1"/>
  <c r="S76" i="4" s="1"/>
  <c r="R76" i="4" a="1"/>
  <c r="R76" i="4" s="1"/>
  <c r="Q76" i="4" a="1"/>
  <c r="Q76" i="4" s="1"/>
  <c r="P76" i="4" a="1"/>
  <c r="P76" i="4" s="1"/>
  <c r="O76" i="4" a="1"/>
  <c r="O76" i="4" s="1"/>
  <c r="N76" i="4" a="1"/>
  <c r="N76" i="4" s="1"/>
  <c r="M76" i="4" a="1"/>
  <c r="M76" i="4" s="1"/>
  <c r="L76" i="4" a="1"/>
  <c r="L76" i="4" s="1"/>
  <c r="K76" i="4" a="1"/>
  <c r="K76" i="4" s="1"/>
  <c r="J76" i="4" a="1"/>
  <c r="J76" i="4" s="1"/>
  <c r="I76" i="4" a="1"/>
  <c r="I76" i="4" s="1"/>
  <c r="H76" i="4" a="1"/>
  <c r="H76" i="4" s="1"/>
  <c r="G76" i="4" a="1"/>
  <c r="G76" i="4" s="1"/>
  <c r="B76" i="4" a="1"/>
  <c r="B76" i="4" s="1"/>
  <c r="A76" i="4"/>
  <c r="O75" i="4" a="1"/>
  <c r="O75" i="4" s="1"/>
  <c r="L75" i="4" a="1"/>
  <c r="L75" i="4" s="1"/>
  <c r="E75" i="4" a="1"/>
  <c r="E75" i="4" s="1"/>
  <c r="D75" i="4" a="1"/>
  <c r="D75" i="4" s="1"/>
  <c r="C75" i="4" a="1"/>
  <c r="C75" i="4" s="1"/>
  <c r="B75" i="4" a="1"/>
  <c r="B75" i="4" s="1"/>
  <c r="A75" i="4"/>
  <c r="V73" i="4" a="1"/>
  <c r="V73" i="4" s="1"/>
  <c r="T73" i="4" a="1"/>
  <c r="T73" i="4" s="1"/>
  <c r="S73" i="4" a="1"/>
  <c r="S73" i="4" s="1"/>
  <c r="R73" i="4" a="1"/>
  <c r="R73" i="4" s="1"/>
  <c r="Q73" i="4" a="1"/>
  <c r="Q73" i="4" s="1"/>
  <c r="P73" i="4" a="1"/>
  <c r="P73" i="4" s="1"/>
  <c r="O73" i="4" a="1"/>
  <c r="O73" i="4" s="1"/>
  <c r="N73" i="4" a="1"/>
  <c r="N73" i="4" s="1"/>
  <c r="M73" i="4" a="1"/>
  <c r="M73" i="4" s="1"/>
  <c r="L73" i="4" a="1"/>
  <c r="L73" i="4" s="1"/>
  <c r="K73" i="4" a="1"/>
  <c r="K73" i="4" s="1"/>
  <c r="J73" i="4" a="1"/>
  <c r="J73" i="4" s="1"/>
  <c r="I73" i="4" a="1"/>
  <c r="I73" i="4" s="1"/>
  <c r="H73" i="4" a="1"/>
  <c r="H73" i="4" s="1"/>
  <c r="G73" i="4" a="1"/>
  <c r="G73" i="4" s="1"/>
  <c r="B73" i="4" a="1"/>
  <c r="B73" i="4" s="1"/>
  <c r="A73" i="4"/>
  <c r="O72" i="4" a="1"/>
  <c r="O72" i="4" s="1"/>
  <c r="M72" i="4" a="1"/>
  <c r="M72" i="4" s="1"/>
  <c r="K72" i="4" a="1"/>
  <c r="K72" i="4" s="1"/>
  <c r="E72" i="4" a="1"/>
  <c r="E72" i="4" s="1"/>
  <c r="D72" i="4" a="1"/>
  <c r="D72" i="4" s="1"/>
  <c r="C72" i="4" a="1"/>
  <c r="C72" i="4" s="1"/>
  <c r="B72" i="4" a="1"/>
  <c r="B72" i="4" s="1"/>
  <c r="A72" i="4"/>
  <c r="V70" i="4" a="1"/>
  <c r="V70" i="4" s="1"/>
  <c r="T70" i="4" a="1"/>
  <c r="T70" i="4" s="1"/>
  <c r="S70" i="4" a="1"/>
  <c r="S70" i="4" s="1"/>
  <c r="R70" i="4" a="1"/>
  <c r="R70" i="4" s="1"/>
  <c r="Q70" i="4" a="1"/>
  <c r="Q70" i="4" s="1"/>
  <c r="P70" i="4" a="1"/>
  <c r="P70" i="4" s="1"/>
  <c r="O70" i="4" a="1"/>
  <c r="O70" i="4" s="1"/>
  <c r="N70" i="4" a="1"/>
  <c r="N70" i="4" s="1"/>
  <c r="M70" i="4" a="1"/>
  <c r="M70" i="4" s="1"/>
  <c r="L70" i="4" a="1"/>
  <c r="L70" i="4" s="1"/>
  <c r="K70" i="4" a="1"/>
  <c r="K70" i="4" s="1"/>
  <c r="J70" i="4" a="1"/>
  <c r="J70" i="4" s="1"/>
  <c r="I70" i="4" a="1"/>
  <c r="I70" i="4" s="1"/>
  <c r="H70" i="4" a="1"/>
  <c r="H70" i="4" s="1"/>
  <c r="G70" i="4" a="1"/>
  <c r="G70" i="4" s="1"/>
  <c r="B70" i="4" a="1"/>
  <c r="B70" i="4" s="1"/>
  <c r="A70" i="4"/>
  <c r="U69" i="4" a="1"/>
  <c r="U69" i="4" s="1"/>
  <c r="U71" i="4" s="1" a="1"/>
  <c r="U71" i="4" s="1"/>
  <c r="Q69" i="4" a="1"/>
  <c r="Q69" i="4" s="1"/>
  <c r="P69" i="4" a="1"/>
  <c r="P69" i="4" s="1"/>
  <c r="O69" i="4" a="1"/>
  <c r="O69" i="4" s="1"/>
  <c r="K69" i="4" a="1"/>
  <c r="K69" i="4" s="1"/>
  <c r="I69" i="4" a="1"/>
  <c r="I69" i="4" s="1"/>
  <c r="H69" i="4" a="1"/>
  <c r="H69" i="4" s="1"/>
  <c r="E69" i="4" a="1"/>
  <c r="E69" i="4" s="1"/>
  <c r="D69" i="4" a="1"/>
  <c r="D69" i="4" s="1"/>
  <c r="C69" i="4" a="1"/>
  <c r="C69" i="4" s="1"/>
  <c r="B69" i="4" a="1"/>
  <c r="B69" i="4" s="1"/>
  <c r="A69" i="4"/>
  <c r="V67" i="4" a="1"/>
  <c r="V67" i="4" s="1"/>
  <c r="T67" i="4" a="1"/>
  <c r="T67" i="4" s="1"/>
  <c r="S67" i="4" a="1"/>
  <c r="S67" i="4" s="1"/>
  <c r="R67" i="4" a="1"/>
  <c r="R67" i="4" s="1"/>
  <c r="Q67" i="4" a="1"/>
  <c r="Q67" i="4" s="1"/>
  <c r="P67" i="4" a="1"/>
  <c r="P67" i="4" s="1"/>
  <c r="O67" i="4" a="1"/>
  <c r="O67" i="4" s="1"/>
  <c r="N67" i="4" a="1"/>
  <c r="N67" i="4" s="1"/>
  <c r="M67" i="4" a="1"/>
  <c r="M67" i="4" s="1"/>
  <c r="L67" i="4" a="1"/>
  <c r="L67" i="4" s="1"/>
  <c r="K67" i="4" a="1"/>
  <c r="K67" i="4" s="1"/>
  <c r="J67" i="4" a="1"/>
  <c r="J67" i="4" s="1"/>
  <c r="I67" i="4" a="1"/>
  <c r="I67" i="4" s="1"/>
  <c r="H67" i="4" a="1"/>
  <c r="H67" i="4" s="1"/>
  <c r="G67" i="4" a="1"/>
  <c r="G67" i="4" s="1"/>
  <c r="B67" i="4" a="1"/>
  <c r="B67" i="4" s="1"/>
  <c r="A67" i="4"/>
  <c r="U66" i="4" a="1"/>
  <c r="U66" i="4" s="1"/>
  <c r="U68" i="4" s="1" a="1"/>
  <c r="U68" i="4" s="1"/>
  <c r="S66" i="4" a="1"/>
  <c r="S66" i="4" s="1"/>
  <c r="O66" i="4" a="1"/>
  <c r="O66" i="4" s="1"/>
  <c r="I66" i="4" a="1"/>
  <c r="I66" i="4" s="1"/>
  <c r="G66" i="4" a="1"/>
  <c r="G66" i="4" s="1"/>
  <c r="E66" i="4" a="1"/>
  <c r="E66" i="4" s="1"/>
  <c r="D66" i="4" a="1"/>
  <c r="D66" i="4" s="1"/>
  <c r="C66" i="4" a="1"/>
  <c r="C66" i="4" s="1"/>
  <c r="B66" i="4" a="1"/>
  <c r="B66" i="4" s="1"/>
  <c r="A66" i="4"/>
  <c r="V64" i="4" a="1"/>
  <c r="V64" i="4" s="1"/>
  <c r="T64" i="4" a="1"/>
  <c r="T64" i="4" s="1"/>
  <c r="S64" i="4" a="1"/>
  <c r="S64" i="4" s="1"/>
  <c r="R64" i="4" a="1"/>
  <c r="R64" i="4" s="1"/>
  <c r="Q64" i="4" a="1"/>
  <c r="Q64" i="4" s="1"/>
  <c r="P64" i="4" a="1"/>
  <c r="P64" i="4" s="1"/>
  <c r="O64" i="4" a="1"/>
  <c r="O64" i="4" s="1"/>
  <c r="N64" i="4" a="1"/>
  <c r="N64" i="4" s="1"/>
  <c r="M64" i="4" a="1"/>
  <c r="M64" i="4" s="1"/>
  <c r="L64" i="4" a="1"/>
  <c r="L64" i="4" s="1"/>
  <c r="K64" i="4" a="1"/>
  <c r="K64" i="4" s="1"/>
  <c r="J64" i="4" a="1"/>
  <c r="J64" i="4" s="1"/>
  <c r="I64" i="4" a="1"/>
  <c r="I64" i="4" s="1"/>
  <c r="H64" i="4" a="1"/>
  <c r="H64" i="4" s="1"/>
  <c r="G64" i="4" a="1"/>
  <c r="G64" i="4" s="1"/>
  <c r="B64" i="4" a="1"/>
  <c r="B64" i="4" s="1"/>
  <c r="A64" i="4"/>
  <c r="S63" i="4" a="1"/>
  <c r="S63" i="4" s="1"/>
  <c r="Q63" i="4" a="1"/>
  <c r="Q63" i="4" s="1"/>
  <c r="O63" i="4" a="1"/>
  <c r="O63" i="4" s="1"/>
  <c r="L63" i="4" a="1"/>
  <c r="L63" i="4" s="1"/>
  <c r="G63" i="4" a="1"/>
  <c r="G63" i="4" s="1"/>
  <c r="E63" i="4" a="1"/>
  <c r="E63" i="4" s="1"/>
  <c r="D63" i="4" a="1"/>
  <c r="D63" i="4" s="1"/>
  <c r="C63" i="4" a="1"/>
  <c r="C63" i="4" s="1"/>
  <c r="B63" i="4" a="1"/>
  <c r="B63" i="4" s="1"/>
  <c r="A63" i="4"/>
  <c r="V61" i="4" a="1"/>
  <c r="V61" i="4" s="1"/>
  <c r="T61" i="4" a="1"/>
  <c r="T61" i="4" s="1"/>
  <c r="S61" i="4" a="1"/>
  <c r="S61" i="4" s="1"/>
  <c r="R61" i="4" a="1"/>
  <c r="R61" i="4" s="1"/>
  <c r="Q61" i="4" a="1"/>
  <c r="Q61" i="4" s="1"/>
  <c r="P61" i="4" a="1"/>
  <c r="P61" i="4" s="1"/>
  <c r="O61" i="4" a="1"/>
  <c r="O61" i="4" s="1"/>
  <c r="N61" i="4" a="1"/>
  <c r="N61" i="4" s="1"/>
  <c r="M61" i="4" a="1"/>
  <c r="M61" i="4" s="1"/>
  <c r="L61" i="4" a="1"/>
  <c r="L61" i="4" s="1"/>
  <c r="K61" i="4" a="1"/>
  <c r="K61" i="4" s="1"/>
  <c r="J61" i="4" a="1"/>
  <c r="J61" i="4" s="1"/>
  <c r="I61" i="4" a="1"/>
  <c r="I61" i="4" s="1"/>
  <c r="H61" i="4" a="1"/>
  <c r="H61" i="4" s="1"/>
  <c r="G61" i="4" a="1"/>
  <c r="G61" i="4" s="1"/>
  <c r="B61" i="4" a="1"/>
  <c r="B61" i="4" s="1"/>
  <c r="A61" i="4"/>
  <c r="V60" i="4" a="1"/>
  <c r="V60" i="4" s="1"/>
  <c r="Q60" i="4" a="1"/>
  <c r="Q60" i="4" s="1"/>
  <c r="O60" i="4" a="1"/>
  <c r="O60" i="4" s="1"/>
  <c r="J60" i="4" a="1"/>
  <c r="J60" i="4" s="1"/>
  <c r="E60" i="4" a="1"/>
  <c r="E60" i="4" s="1"/>
  <c r="D60" i="4" a="1"/>
  <c r="D60" i="4" s="1"/>
  <c r="C60" i="4" a="1"/>
  <c r="C60" i="4" s="1"/>
  <c r="B60" i="4" a="1"/>
  <c r="B60" i="4" s="1"/>
  <c r="A60" i="4"/>
  <c r="V58" i="4" a="1"/>
  <c r="V58" i="4" s="1"/>
  <c r="T58" i="4" a="1"/>
  <c r="T58" i="4" s="1"/>
  <c r="S58" i="4" a="1"/>
  <c r="S58" i="4" s="1"/>
  <c r="R58" i="4" a="1"/>
  <c r="R58" i="4" s="1"/>
  <c r="Q58" i="4" a="1"/>
  <c r="Q58" i="4" s="1"/>
  <c r="P58" i="4" a="1"/>
  <c r="P58" i="4" s="1"/>
  <c r="O58" i="4" a="1"/>
  <c r="O58" i="4" s="1"/>
  <c r="N58" i="4" a="1"/>
  <c r="N58" i="4" s="1"/>
  <c r="M58" i="4" a="1"/>
  <c r="M58" i="4" s="1"/>
  <c r="L58" i="4" a="1"/>
  <c r="L58" i="4" s="1"/>
  <c r="K58" i="4" a="1"/>
  <c r="K58" i="4" s="1"/>
  <c r="J58" i="4" a="1"/>
  <c r="J58" i="4" s="1"/>
  <c r="I58" i="4" a="1"/>
  <c r="I58" i="4" s="1"/>
  <c r="H58" i="4" a="1"/>
  <c r="H58" i="4" s="1"/>
  <c r="G58" i="4" a="1"/>
  <c r="G58" i="4" s="1"/>
  <c r="B58" i="4" a="1"/>
  <c r="B58" i="4" s="1"/>
  <c r="A58" i="4"/>
  <c r="V57" i="4" a="1"/>
  <c r="V57" i="4" s="1"/>
  <c r="U57" i="4" a="1"/>
  <c r="U57" i="4" s="1"/>
  <c r="U59" i="4" s="1" a="1"/>
  <c r="U59" i="4" s="1"/>
  <c r="O57" i="4" a="1"/>
  <c r="O57" i="4" s="1"/>
  <c r="L57" i="4" a="1"/>
  <c r="L57" i="4" s="1"/>
  <c r="I57" i="4" a="1"/>
  <c r="I57" i="4" s="1"/>
  <c r="H57" i="4" a="1"/>
  <c r="H57" i="4" s="1"/>
  <c r="E57" i="4" a="1"/>
  <c r="E57" i="4" s="1"/>
  <c r="D57" i="4" a="1"/>
  <c r="D57" i="4" s="1"/>
  <c r="C57" i="4" a="1"/>
  <c r="C57" i="4" s="1"/>
  <c r="B57" i="4" a="1"/>
  <c r="B57" i="4" s="1"/>
  <c r="A57" i="4"/>
  <c r="V55" i="4" a="1"/>
  <c r="V55" i="4" s="1"/>
  <c r="T55" i="4" a="1"/>
  <c r="T55" i="4" s="1"/>
  <c r="S55" i="4" a="1"/>
  <c r="S55" i="4" s="1"/>
  <c r="R55" i="4" a="1"/>
  <c r="R55" i="4" s="1"/>
  <c r="Q55" i="4" a="1"/>
  <c r="Q55" i="4" s="1"/>
  <c r="P55" i="4" a="1"/>
  <c r="P55" i="4" s="1"/>
  <c r="O55" i="4" a="1"/>
  <c r="O55" i="4" s="1"/>
  <c r="N55" i="4" a="1"/>
  <c r="N55" i="4" s="1"/>
  <c r="M55" i="4" a="1"/>
  <c r="M55" i="4" s="1"/>
  <c r="L55" i="4" a="1"/>
  <c r="L55" i="4" s="1"/>
  <c r="K55" i="4" a="1"/>
  <c r="K55" i="4" s="1"/>
  <c r="J55" i="4" a="1"/>
  <c r="J55" i="4" s="1"/>
  <c r="I55" i="4" a="1"/>
  <c r="I55" i="4" s="1"/>
  <c r="H55" i="4" a="1"/>
  <c r="H55" i="4" s="1"/>
  <c r="G55" i="4" a="1"/>
  <c r="G55" i="4" s="1"/>
  <c r="B55" i="4" a="1"/>
  <c r="B55" i="4" s="1"/>
  <c r="A55" i="4"/>
  <c r="V54" i="4" a="1"/>
  <c r="V54" i="4" s="1"/>
  <c r="T54" i="4" a="1"/>
  <c r="T54" i="4" s="1"/>
  <c r="S54" i="4" a="1"/>
  <c r="S54" i="4" s="1"/>
  <c r="O54" i="4" a="1"/>
  <c r="O54" i="4" s="1"/>
  <c r="M54" i="4" a="1"/>
  <c r="M54" i="4" s="1"/>
  <c r="K54" i="4" a="1"/>
  <c r="K54" i="4" s="1"/>
  <c r="I54" i="4" a="1"/>
  <c r="I54" i="4" s="1"/>
  <c r="E54" i="4" a="1"/>
  <c r="E54" i="4" s="1"/>
  <c r="D54" i="4" a="1"/>
  <c r="D54" i="4" s="1"/>
  <c r="C54" i="4" a="1"/>
  <c r="C54" i="4" s="1"/>
  <c r="B54" i="4" a="1"/>
  <c r="B54" i="4" s="1"/>
  <c r="A54" i="4"/>
  <c r="V52" i="4" a="1"/>
  <c r="V52" i="4" s="1"/>
  <c r="T52" i="4" a="1"/>
  <c r="T52" i="4" s="1"/>
  <c r="S52" i="4" a="1"/>
  <c r="S52" i="4" s="1"/>
  <c r="R52" i="4" a="1"/>
  <c r="R52" i="4" s="1"/>
  <c r="Q52" i="4" a="1"/>
  <c r="Q52" i="4" s="1"/>
  <c r="P52" i="4" a="1"/>
  <c r="P52" i="4" s="1"/>
  <c r="O52" i="4" a="1"/>
  <c r="O52" i="4" s="1"/>
  <c r="N52" i="4" a="1"/>
  <c r="N52" i="4" s="1"/>
  <c r="M52" i="4" a="1"/>
  <c r="M52" i="4" s="1"/>
  <c r="L52" i="4" a="1"/>
  <c r="L52" i="4" s="1"/>
  <c r="K52" i="4" a="1"/>
  <c r="K52" i="4" s="1"/>
  <c r="J52" i="4" a="1"/>
  <c r="J52" i="4" s="1"/>
  <c r="I52" i="4" a="1"/>
  <c r="I52" i="4" s="1"/>
  <c r="H52" i="4" a="1"/>
  <c r="H52" i="4" s="1"/>
  <c r="G52" i="4" a="1"/>
  <c r="G52" i="4" s="1"/>
  <c r="B52" i="4" a="1"/>
  <c r="B52" i="4" s="1"/>
  <c r="A52" i="4"/>
  <c r="U51" i="4" a="1"/>
  <c r="U51" i="4" s="1"/>
  <c r="U53" i="4" s="1" a="1"/>
  <c r="U53" i="4" s="1"/>
  <c r="T51" i="4" a="1"/>
  <c r="T51" i="4" s="1"/>
  <c r="S51" i="4" a="1"/>
  <c r="S51" i="4" s="1"/>
  <c r="O51" i="4" a="1"/>
  <c r="O51" i="4" s="1"/>
  <c r="M51" i="4" a="1"/>
  <c r="M51" i="4" s="1"/>
  <c r="L51" i="4" a="1"/>
  <c r="L51" i="4" s="1"/>
  <c r="K51" i="4" a="1"/>
  <c r="K51" i="4" s="1"/>
  <c r="H51" i="4" a="1"/>
  <c r="H51" i="4" s="1"/>
  <c r="E51" i="4" a="1"/>
  <c r="E51" i="4" s="1"/>
  <c r="D51" i="4" a="1"/>
  <c r="D51" i="4" s="1"/>
  <c r="C51" i="4" a="1"/>
  <c r="C51" i="4" s="1"/>
  <c r="B51" i="4" a="1"/>
  <c r="B51" i="4" s="1"/>
  <c r="A51" i="4"/>
  <c r="V49" i="4" a="1"/>
  <c r="V49" i="4" s="1"/>
  <c r="T49" i="4" a="1"/>
  <c r="T49" i="4" s="1"/>
  <c r="S49" i="4" a="1"/>
  <c r="S49" i="4" s="1"/>
  <c r="R49" i="4" a="1"/>
  <c r="R49" i="4" s="1"/>
  <c r="Q49" i="4" a="1"/>
  <c r="Q49" i="4" s="1"/>
  <c r="P49" i="4" a="1"/>
  <c r="P49" i="4" s="1"/>
  <c r="O49" i="4" a="1"/>
  <c r="O49" i="4" s="1"/>
  <c r="N49" i="4" a="1"/>
  <c r="N49" i="4" s="1"/>
  <c r="M49" i="4" a="1"/>
  <c r="M49" i="4" s="1"/>
  <c r="L49" i="4" a="1"/>
  <c r="L49" i="4" s="1"/>
  <c r="K49" i="4" a="1"/>
  <c r="K49" i="4" s="1"/>
  <c r="J49" i="4" a="1"/>
  <c r="J49" i="4" s="1"/>
  <c r="I49" i="4" a="1"/>
  <c r="I49" i="4" s="1"/>
  <c r="H49" i="4" a="1"/>
  <c r="H49" i="4" s="1"/>
  <c r="G49" i="4" a="1"/>
  <c r="G49" i="4" s="1"/>
  <c r="B49" i="4" a="1"/>
  <c r="B49" i="4" s="1"/>
  <c r="A49" i="4"/>
  <c r="V48" i="4" a="1"/>
  <c r="V48" i="4" s="1"/>
  <c r="R48" i="4" a="1"/>
  <c r="R48" i="4" s="1"/>
  <c r="Q48" i="4" a="1"/>
  <c r="Q48" i="4" s="1"/>
  <c r="P48" i="4" a="1"/>
  <c r="P48" i="4" s="1"/>
  <c r="O48" i="4" a="1"/>
  <c r="O48" i="4" s="1"/>
  <c r="K48" i="4" a="1"/>
  <c r="K48" i="4" s="1"/>
  <c r="J48" i="4" a="1"/>
  <c r="J48" i="4" s="1"/>
  <c r="E48" i="4" a="1"/>
  <c r="E48" i="4" s="1"/>
  <c r="D48" i="4" a="1"/>
  <c r="D48" i="4" s="1"/>
  <c r="C48" i="4" a="1"/>
  <c r="C48" i="4" s="1"/>
  <c r="B48" i="4" a="1"/>
  <c r="B48" i="4" s="1"/>
  <c r="A48" i="4"/>
  <c r="V46" i="4" a="1"/>
  <c r="V46" i="4" s="1"/>
  <c r="T46" i="4" a="1"/>
  <c r="T46" i="4" s="1"/>
  <c r="S46" i="4" a="1"/>
  <c r="S46" i="4" s="1"/>
  <c r="R46" i="4" a="1"/>
  <c r="R46" i="4" s="1"/>
  <c r="Q46" i="4" a="1"/>
  <c r="Q46" i="4" s="1"/>
  <c r="P46" i="4" a="1"/>
  <c r="P46" i="4" s="1"/>
  <c r="O46" i="4" a="1"/>
  <c r="O46" i="4" s="1"/>
  <c r="N46" i="4" a="1"/>
  <c r="N46" i="4" s="1"/>
  <c r="M46" i="4" a="1"/>
  <c r="M46" i="4" s="1"/>
  <c r="L46" i="4" a="1"/>
  <c r="L46" i="4" s="1"/>
  <c r="K46" i="4" a="1"/>
  <c r="K46" i="4" s="1"/>
  <c r="J46" i="4" a="1"/>
  <c r="J46" i="4" s="1"/>
  <c r="I46" i="4" a="1"/>
  <c r="I46" i="4" s="1"/>
  <c r="H46" i="4" a="1"/>
  <c r="H46" i="4" s="1"/>
  <c r="G46" i="4" a="1"/>
  <c r="G46" i="4" s="1"/>
  <c r="B46" i="4" a="1"/>
  <c r="B46" i="4" s="1"/>
  <c r="A46" i="4"/>
  <c r="V45" i="4" a="1"/>
  <c r="V45" i="4" s="1"/>
  <c r="S45" i="4" a="1"/>
  <c r="S45" i="4" s="1"/>
  <c r="P45" i="4" a="1"/>
  <c r="P45" i="4" s="1"/>
  <c r="O45" i="4" a="1"/>
  <c r="O45" i="4" s="1"/>
  <c r="N45" i="4" a="1"/>
  <c r="N45" i="4" s="1"/>
  <c r="J45" i="4" a="1"/>
  <c r="J45" i="4" s="1"/>
  <c r="E45" i="4" a="1"/>
  <c r="E45" i="4" s="1"/>
  <c r="D45" i="4" a="1"/>
  <c r="D45" i="4" s="1"/>
  <c r="C45" i="4" a="1"/>
  <c r="C45" i="4" s="1"/>
  <c r="B45" i="4" a="1"/>
  <c r="B45" i="4" s="1"/>
  <c r="A45" i="4"/>
  <c r="V43" i="4" a="1"/>
  <c r="V43" i="4" s="1"/>
  <c r="T43" i="4" a="1"/>
  <c r="T43" i="4" s="1"/>
  <c r="S43" i="4" a="1"/>
  <c r="S43" i="4" s="1"/>
  <c r="R43" i="4" a="1"/>
  <c r="R43" i="4" s="1"/>
  <c r="Q43" i="4" a="1"/>
  <c r="Q43" i="4" s="1"/>
  <c r="P43" i="4" a="1"/>
  <c r="P43" i="4" s="1"/>
  <c r="O43" i="4" a="1"/>
  <c r="O43" i="4" s="1"/>
  <c r="N43" i="4" a="1"/>
  <c r="N43" i="4" s="1"/>
  <c r="M43" i="4" a="1"/>
  <c r="M43" i="4" s="1"/>
  <c r="L43" i="4" a="1"/>
  <c r="L43" i="4" s="1"/>
  <c r="K43" i="4" a="1"/>
  <c r="K43" i="4" s="1"/>
  <c r="J43" i="4" a="1"/>
  <c r="J43" i="4" s="1"/>
  <c r="I43" i="4" a="1"/>
  <c r="I43" i="4" s="1"/>
  <c r="H43" i="4" a="1"/>
  <c r="H43" i="4" s="1"/>
  <c r="G43" i="4" a="1"/>
  <c r="G43" i="4" s="1"/>
  <c r="B43" i="4" a="1"/>
  <c r="B43" i="4" s="1"/>
  <c r="A43" i="4"/>
  <c r="T42" i="4" a="1"/>
  <c r="T42" i="4" s="1"/>
  <c r="O42" i="4" a="1"/>
  <c r="O42" i="4" s="1"/>
  <c r="N42" i="4" a="1"/>
  <c r="N42" i="4" s="1"/>
  <c r="M42" i="4" a="1"/>
  <c r="M42" i="4" s="1"/>
  <c r="E42" i="4" a="1"/>
  <c r="E42" i="4" s="1"/>
  <c r="D42" i="4" a="1"/>
  <c r="D42" i="4" s="1"/>
  <c r="C42" i="4" a="1"/>
  <c r="C42" i="4" s="1"/>
  <c r="B42" i="4" a="1"/>
  <c r="B42" i="4" s="1"/>
  <c r="A42" i="4"/>
  <c r="V40" i="4" a="1"/>
  <c r="V40" i="4" s="1"/>
  <c r="T40" i="4" a="1"/>
  <c r="T40" i="4" s="1"/>
  <c r="S40" i="4" a="1"/>
  <c r="S40" i="4" s="1"/>
  <c r="R40" i="4" a="1"/>
  <c r="R40" i="4" s="1"/>
  <c r="Q40" i="4" a="1"/>
  <c r="Q40" i="4" s="1"/>
  <c r="P40" i="4" a="1"/>
  <c r="P40" i="4" s="1"/>
  <c r="O40" i="4" a="1"/>
  <c r="O40" i="4" s="1"/>
  <c r="N40" i="4" a="1"/>
  <c r="N40" i="4" s="1"/>
  <c r="M40" i="4" a="1"/>
  <c r="M40" i="4" s="1"/>
  <c r="L40" i="4" a="1"/>
  <c r="L40" i="4" s="1"/>
  <c r="K40" i="4" a="1"/>
  <c r="K40" i="4" s="1"/>
  <c r="J40" i="4" a="1"/>
  <c r="J40" i="4" s="1"/>
  <c r="I40" i="4" a="1"/>
  <c r="I40" i="4" s="1"/>
  <c r="H40" i="4" a="1"/>
  <c r="H40" i="4" s="1"/>
  <c r="G40" i="4" a="1"/>
  <c r="G40" i="4" s="1"/>
  <c r="B40" i="4" a="1"/>
  <c r="B40" i="4" s="1"/>
  <c r="A40" i="4"/>
  <c r="U39" i="4" a="1"/>
  <c r="U39" i="4" s="1"/>
  <c r="U41" i="4" s="1" a="1"/>
  <c r="U41" i="4" s="1"/>
  <c r="S39" i="4" a="1"/>
  <c r="S39" i="4" s="1"/>
  <c r="R39" i="4" a="1"/>
  <c r="R39" i="4" s="1"/>
  <c r="O39" i="4" a="1"/>
  <c r="O39" i="4" s="1"/>
  <c r="L39" i="4" a="1"/>
  <c r="L39" i="4" s="1"/>
  <c r="K39" i="4" a="1"/>
  <c r="K39" i="4" s="1"/>
  <c r="I39" i="4" a="1"/>
  <c r="I39" i="4" s="1"/>
  <c r="E39" i="4" a="1"/>
  <c r="E39" i="4" s="1"/>
  <c r="D39" i="4" a="1"/>
  <c r="D39" i="4" s="1"/>
  <c r="C39" i="4" a="1"/>
  <c r="C39" i="4" s="1"/>
  <c r="B39" i="4" a="1"/>
  <c r="B39" i="4" s="1"/>
  <c r="A39" i="4"/>
  <c r="V37" i="4" a="1"/>
  <c r="V37" i="4" s="1"/>
  <c r="T37" i="4" a="1"/>
  <c r="T37" i="4" s="1"/>
  <c r="S37" i="4" a="1"/>
  <c r="S37" i="4" s="1"/>
  <c r="R37" i="4" a="1"/>
  <c r="R37" i="4" s="1"/>
  <c r="Q37" i="4" a="1"/>
  <c r="Q37" i="4" s="1"/>
  <c r="P37" i="4" a="1"/>
  <c r="P37" i="4" s="1"/>
  <c r="O37" i="4" a="1"/>
  <c r="O37" i="4" s="1"/>
  <c r="N37" i="4" a="1"/>
  <c r="N37" i="4" s="1"/>
  <c r="M37" i="4" a="1"/>
  <c r="M37" i="4" s="1"/>
  <c r="L37" i="4" a="1"/>
  <c r="L37" i="4" s="1"/>
  <c r="K37" i="4" a="1"/>
  <c r="K37" i="4" s="1"/>
  <c r="J37" i="4" a="1"/>
  <c r="J37" i="4" s="1"/>
  <c r="I37" i="4" a="1"/>
  <c r="I37" i="4" s="1"/>
  <c r="H37" i="4" a="1"/>
  <c r="H37" i="4" s="1"/>
  <c r="G37" i="4" a="1"/>
  <c r="G37" i="4" s="1"/>
  <c r="B37" i="4" a="1"/>
  <c r="B37" i="4" s="1"/>
  <c r="A37" i="4"/>
  <c r="Q36" i="4" a="1"/>
  <c r="Q36" i="4" s="1"/>
  <c r="P36" i="4" a="1"/>
  <c r="P36" i="4" s="1"/>
  <c r="O36" i="4" a="1"/>
  <c r="O36" i="4" s="1"/>
  <c r="M36" i="4" a="1"/>
  <c r="M36" i="4" s="1"/>
  <c r="J36" i="4" a="1"/>
  <c r="J36" i="4" s="1"/>
  <c r="H36" i="4" a="1"/>
  <c r="H36" i="4" s="1"/>
  <c r="E36" i="4" a="1"/>
  <c r="E36" i="4" s="1"/>
  <c r="D36" i="4" a="1"/>
  <c r="D36" i="4" s="1"/>
  <c r="C36" i="4" a="1"/>
  <c r="C36" i="4" s="1"/>
  <c r="B36" i="4" a="1"/>
  <c r="B36" i="4" s="1"/>
  <c r="A36" i="4"/>
  <c r="V34" i="4" a="1"/>
  <c r="V34" i="4" s="1"/>
  <c r="T34" i="4" a="1"/>
  <c r="T34" i="4" s="1"/>
  <c r="S34" i="4" a="1"/>
  <c r="S34" i="4" s="1"/>
  <c r="R34" i="4" a="1"/>
  <c r="R34" i="4" s="1"/>
  <c r="Q34" i="4" a="1"/>
  <c r="Q34" i="4" s="1"/>
  <c r="P34" i="4" a="1"/>
  <c r="P34" i="4" s="1"/>
  <c r="O34" i="4" a="1"/>
  <c r="O34" i="4" s="1"/>
  <c r="N34" i="4" a="1"/>
  <c r="N34" i="4" s="1"/>
  <c r="M34" i="4" a="1"/>
  <c r="M34" i="4" s="1"/>
  <c r="L34" i="4" a="1"/>
  <c r="L34" i="4" s="1"/>
  <c r="K34" i="4" a="1"/>
  <c r="K34" i="4" s="1"/>
  <c r="J34" i="4" a="1"/>
  <c r="J34" i="4" s="1"/>
  <c r="I34" i="4" a="1"/>
  <c r="I34" i="4" s="1"/>
  <c r="H34" i="4" a="1"/>
  <c r="H34" i="4" s="1"/>
  <c r="G34" i="4" a="1"/>
  <c r="G34" i="4" s="1"/>
  <c r="B34" i="4" a="1"/>
  <c r="B34" i="4" s="1"/>
  <c r="A34" i="4"/>
  <c r="S33" i="4" a="1"/>
  <c r="S33" i="4" s="1"/>
  <c r="R33" i="4" a="1"/>
  <c r="R33" i="4" s="1"/>
  <c r="O33" i="4" a="1"/>
  <c r="O33" i="4" s="1"/>
  <c r="N33" i="4" a="1"/>
  <c r="N33" i="4" s="1"/>
  <c r="K33" i="4" a="1"/>
  <c r="K33" i="4" s="1"/>
  <c r="I33" i="4" a="1"/>
  <c r="I33" i="4" s="1"/>
  <c r="H33" i="4" a="1"/>
  <c r="H33" i="4" s="1"/>
  <c r="E33" i="4" a="1"/>
  <c r="E33" i="4" s="1"/>
  <c r="D33" i="4" a="1"/>
  <c r="D33" i="4" s="1"/>
  <c r="C33" i="4" a="1"/>
  <c r="C33" i="4" s="1"/>
  <c r="B33" i="4" a="1"/>
  <c r="B33" i="4" s="1"/>
  <c r="A33" i="4"/>
  <c r="V31" i="4" a="1"/>
  <c r="V31" i="4" s="1"/>
  <c r="T31" i="4" a="1"/>
  <c r="T31" i="4" s="1"/>
  <c r="S31" i="4" a="1"/>
  <c r="S31" i="4" s="1"/>
  <c r="R31" i="4" a="1"/>
  <c r="R31" i="4" s="1"/>
  <c r="Q31" i="4" a="1"/>
  <c r="Q31" i="4" s="1"/>
  <c r="P31" i="4" a="1"/>
  <c r="P31" i="4" s="1"/>
  <c r="O31" i="4" a="1"/>
  <c r="O31" i="4" s="1"/>
  <c r="N31" i="4" a="1"/>
  <c r="N31" i="4" s="1"/>
  <c r="M31" i="4" a="1"/>
  <c r="M31" i="4" s="1"/>
  <c r="L31" i="4" a="1"/>
  <c r="L31" i="4" s="1"/>
  <c r="K31" i="4" a="1"/>
  <c r="K31" i="4" s="1"/>
  <c r="J31" i="4" a="1"/>
  <c r="J31" i="4" s="1"/>
  <c r="I31" i="4" a="1"/>
  <c r="I31" i="4" s="1"/>
  <c r="H31" i="4" a="1"/>
  <c r="H31" i="4" s="1"/>
  <c r="G31" i="4" a="1"/>
  <c r="G31" i="4" s="1"/>
  <c r="B31" i="4" a="1"/>
  <c r="B31" i="4" s="1"/>
  <c r="A31" i="4"/>
  <c r="V30" i="4" a="1"/>
  <c r="V30" i="4" s="1"/>
  <c r="U30" i="4" a="1"/>
  <c r="U30" i="4" s="1"/>
  <c r="U32" i="4" s="1" a="1"/>
  <c r="U32" i="4" s="1"/>
  <c r="T30" i="4" a="1"/>
  <c r="T30" i="4" s="1"/>
  <c r="O30" i="4" a="1"/>
  <c r="O30" i="4" s="1"/>
  <c r="M30" i="4" a="1"/>
  <c r="M30" i="4" s="1"/>
  <c r="K30" i="4" a="1"/>
  <c r="K30" i="4" s="1"/>
  <c r="I30" i="4" a="1"/>
  <c r="I30" i="4" s="1"/>
  <c r="E30" i="4" a="1"/>
  <c r="E30" i="4" s="1"/>
  <c r="D30" i="4" a="1"/>
  <c r="D30" i="4" s="1"/>
  <c r="C30" i="4" a="1"/>
  <c r="C30" i="4" s="1"/>
  <c r="B30" i="4" a="1"/>
  <c r="B30" i="4" s="1"/>
  <c r="A30" i="4"/>
  <c r="V28" i="4" a="1"/>
  <c r="V28" i="4" s="1"/>
  <c r="T28" i="4" a="1"/>
  <c r="T28" i="4" s="1"/>
  <c r="S28" i="4" a="1"/>
  <c r="S28" i="4" s="1"/>
  <c r="R28" i="4" a="1"/>
  <c r="R28" i="4" s="1"/>
  <c r="Q28" i="4" a="1"/>
  <c r="Q28" i="4" s="1"/>
  <c r="P28" i="4" a="1"/>
  <c r="P28" i="4" s="1"/>
  <c r="O28" i="4" a="1"/>
  <c r="O28" i="4" s="1"/>
  <c r="N28" i="4" a="1"/>
  <c r="N28" i="4" s="1"/>
  <c r="M28" i="4" a="1"/>
  <c r="M28" i="4" s="1"/>
  <c r="L28" i="4" a="1"/>
  <c r="L28" i="4" s="1"/>
  <c r="K28" i="4" a="1"/>
  <c r="K28" i="4" s="1"/>
  <c r="J28" i="4" a="1"/>
  <c r="J28" i="4" s="1"/>
  <c r="I28" i="4" a="1"/>
  <c r="I28" i="4" s="1"/>
  <c r="H28" i="4" a="1"/>
  <c r="H28" i="4" s="1"/>
  <c r="G28" i="4" a="1"/>
  <c r="G28" i="4" s="1"/>
  <c r="B28" i="4" a="1"/>
  <c r="B28" i="4" s="1"/>
  <c r="A28" i="4"/>
  <c r="T27" i="4" a="1"/>
  <c r="T27" i="4" s="1"/>
  <c r="S27" i="4" a="1"/>
  <c r="S27" i="4" s="1"/>
  <c r="O27" i="4" a="1"/>
  <c r="O27" i="4" s="1"/>
  <c r="N27" i="4" a="1"/>
  <c r="N27" i="4" s="1"/>
  <c r="M27" i="4" a="1"/>
  <c r="M27" i="4" s="1"/>
  <c r="G27" i="4" a="1"/>
  <c r="G27" i="4" s="1"/>
  <c r="E27" i="4" a="1"/>
  <c r="E27" i="4" s="1"/>
  <c r="D27" i="4" a="1"/>
  <c r="D27" i="4" s="1"/>
  <c r="C27" i="4" a="1"/>
  <c r="C27" i="4" s="1"/>
  <c r="B27" i="4" a="1"/>
  <c r="B27" i="4" s="1"/>
  <c r="A27" i="4"/>
  <c r="V25" i="4" a="1"/>
  <c r="V25" i="4" s="1"/>
  <c r="T25" i="4" a="1"/>
  <c r="T25" i="4" s="1"/>
  <c r="S25" i="4" a="1"/>
  <c r="S25" i="4" s="1"/>
  <c r="R25" i="4" a="1"/>
  <c r="R25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I25" i="4" a="1"/>
  <c r="I25" i="4" s="1"/>
  <c r="H25" i="4" a="1"/>
  <c r="H25" i="4" s="1"/>
  <c r="G25" i="4" a="1"/>
  <c r="G25" i="4" s="1"/>
  <c r="B25" i="4" a="1"/>
  <c r="B25" i="4" s="1"/>
  <c r="A25" i="4"/>
  <c r="Q24" i="4" a="1"/>
  <c r="Q24" i="4" s="1"/>
  <c r="P24" i="4" a="1"/>
  <c r="P24" i="4" s="1"/>
  <c r="O24" i="4" a="1"/>
  <c r="O24" i="4" s="1"/>
  <c r="M24" i="4" a="1"/>
  <c r="M24" i="4" s="1"/>
  <c r="L24" i="4" a="1"/>
  <c r="L24" i="4" s="1"/>
  <c r="J24" i="4" a="1"/>
  <c r="J24" i="4" s="1"/>
  <c r="H24" i="4" a="1"/>
  <c r="H24" i="4" s="1"/>
  <c r="E24" i="4" a="1"/>
  <c r="E24" i="4" s="1"/>
  <c r="D24" i="4" a="1"/>
  <c r="D24" i="4" s="1"/>
  <c r="C24" i="4" a="1"/>
  <c r="C24" i="4" s="1"/>
  <c r="B24" i="4" a="1"/>
  <c r="B24" i="4" s="1"/>
  <c r="A24" i="4"/>
  <c r="V22" i="4" a="1"/>
  <c r="V22" i="4" s="1"/>
  <c r="T22" i="4" a="1"/>
  <c r="T22" i="4" s="1"/>
  <c r="S22" i="4" a="1"/>
  <c r="S22" i="4" s="1"/>
  <c r="R22" i="4" a="1"/>
  <c r="R22" i="4" s="1"/>
  <c r="Q22" i="4" a="1"/>
  <c r="Q22" i="4" s="1"/>
  <c r="P22" i="4" a="1"/>
  <c r="P22" i="4" s="1"/>
  <c r="O22" i="4" a="1"/>
  <c r="O22" i="4" s="1"/>
  <c r="N22" i="4" a="1"/>
  <c r="N22" i="4" s="1"/>
  <c r="M22" i="4" a="1"/>
  <c r="M22" i="4" s="1"/>
  <c r="L22" i="4" a="1"/>
  <c r="L22" i="4" s="1"/>
  <c r="K22" i="4" a="1"/>
  <c r="K22" i="4" s="1"/>
  <c r="J22" i="4" a="1"/>
  <c r="J22" i="4" s="1"/>
  <c r="I22" i="4" a="1"/>
  <c r="I22" i="4" s="1"/>
  <c r="H22" i="4" a="1"/>
  <c r="H22" i="4" s="1"/>
  <c r="G22" i="4" a="1"/>
  <c r="G22" i="4" s="1"/>
  <c r="B22" i="4" a="1"/>
  <c r="B22" i="4" s="1"/>
  <c r="A22" i="4"/>
  <c r="V21" i="4" a="1"/>
  <c r="V21" i="4" s="1"/>
  <c r="S21" i="4" a="1"/>
  <c r="S21" i="4" s="1"/>
  <c r="R21" i="4" a="1"/>
  <c r="R21" i="4" s="1"/>
  <c r="Q21" i="4" a="1"/>
  <c r="Q21" i="4" s="1"/>
  <c r="P21" i="4" a="1"/>
  <c r="P21" i="4" s="1"/>
  <c r="O21" i="4" a="1"/>
  <c r="O21" i="4" s="1"/>
  <c r="K21" i="4" a="1"/>
  <c r="K21" i="4" s="1"/>
  <c r="J21" i="4" a="1"/>
  <c r="J21" i="4" s="1"/>
  <c r="H21" i="4" a="1"/>
  <c r="H21" i="4" s="1"/>
  <c r="E21" i="4" a="1"/>
  <c r="E21" i="4" s="1"/>
  <c r="D21" i="4" a="1"/>
  <c r="D21" i="4" s="1"/>
  <c r="C21" i="4" a="1"/>
  <c r="C21" i="4" s="1"/>
  <c r="B21" i="4" a="1"/>
  <c r="B21" i="4" s="1"/>
  <c r="A21" i="4"/>
  <c r="V19" i="4" a="1"/>
  <c r="V19" i="4" s="1"/>
  <c r="T19" i="4" a="1"/>
  <c r="T19" i="4" s="1"/>
  <c r="S19" i="4" a="1"/>
  <c r="S19" i="4" s="1"/>
  <c r="R19" i="4" a="1"/>
  <c r="R19" i="4" s="1"/>
  <c r="Q19" i="4" a="1"/>
  <c r="Q19" i="4" s="1"/>
  <c r="P19" i="4" a="1"/>
  <c r="P19" i="4" s="1"/>
  <c r="O19" i="4" a="1"/>
  <c r="O19" i="4" s="1"/>
  <c r="N19" i="4" a="1"/>
  <c r="N19" i="4" s="1"/>
  <c r="M19" i="4" a="1"/>
  <c r="M19" i="4" s="1"/>
  <c r="L19" i="4" a="1"/>
  <c r="L19" i="4" s="1"/>
  <c r="K19" i="4" a="1"/>
  <c r="K19" i="4" s="1"/>
  <c r="J19" i="4" a="1"/>
  <c r="J19" i="4" s="1"/>
  <c r="I19" i="4" a="1"/>
  <c r="I19" i="4" s="1"/>
  <c r="H19" i="4" a="1"/>
  <c r="H19" i="4" s="1"/>
  <c r="G19" i="4" a="1"/>
  <c r="G19" i="4" s="1"/>
  <c r="B19" i="4" a="1"/>
  <c r="B19" i="4" s="1"/>
  <c r="A19" i="4"/>
  <c r="U18" i="4" a="1"/>
  <c r="U18" i="4" s="1"/>
  <c r="U20" i="4" s="1" a="1"/>
  <c r="U20" i="4" s="1"/>
  <c r="T18" i="4" a="1"/>
  <c r="T18" i="4" s="1"/>
  <c r="S18" i="4" a="1"/>
  <c r="S18" i="4" s="1"/>
  <c r="O18" i="4" a="1"/>
  <c r="O18" i="4" s="1"/>
  <c r="N18" i="4" a="1"/>
  <c r="N18" i="4" s="1"/>
  <c r="M18" i="4" a="1"/>
  <c r="M18" i="4" s="1"/>
  <c r="I18" i="4" a="1"/>
  <c r="I18" i="4" s="1"/>
  <c r="H18" i="4" a="1"/>
  <c r="H18" i="4" s="1"/>
  <c r="G18" i="4" a="1"/>
  <c r="G18" i="4" s="1"/>
  <c r="E18" i="4" a="1"/>
  <c r="E18" i="4" s="1"/>
  <c r="D18" i="4" a="1"/>
  <c r="D18" i="4" s="1"/>
  <c r="C18" i="4" a="1"/>
  <c r="C18" i="4" s="1"/>
  <c r="B18" i="4" a="1"/>
  <c r="B18" i="4" s="1"/>
  <c r="A18" i="4"/>
  <c r="V16" i="4" a="1"/>
  <c r="V16" i="4" s="1"/>
  <c r="T16" i="4" a="1"/>
  <c r="T16" i="4" s="1"/>
  <c r="S16" i="4" a="1"/>
  <c r="S16" i="4" s="1"/>
  <c r="R16" i="4" a="1"/>
  <c r="R16" i="4" s="1"/>
  <c r="Q16" i="4" a="1"/>
  <c r="Q16" i="4" s="1"/>
  <c r="P16" i="4" a="1"/>
  <c r="P16" i="4" s="1"/>
  <c r="O16" i="4" a="1"/>
  <c r="O16" i="4" s="1"/>
  <c r="N16" i="4" a="1"/>
  <c r="N16" i="4" s="1"/>
  <c r="M16" i="4" a="1"/>
  <c r="M16" i="4" s="1"/>
  <c r="L16" i="4" a="1"/>
  <c r="L16" i="4" s="1"/>
  <c r="K16" i="4" a="1"/>
  <c r="K16" i="4" s="1"/>
  <c r="J16" i="4" a="1"/>
  <c r="J16" i="4" s="1"/>
  <c r="I16" i="4" a="1"/>
  <c r="I16" i="4" s="1"/>
  <c r="H16" i="4" a="1"/>
  <c r="H16" i="4" s="1"/>
  <c r="G16" i="4" a="1"/>
  <c r="G16" i="4" s="1"/>
  <c r="B16" i="4" a="1"/>
  <c r="B16" i="4" s="1"/>
  <c r="A16" i="4"/>
  <c r="V15" i="4" a="1"/>
  <c r="V15" i="4" s="1"/>
  <c r="U15" i="4" a="1"/>
  <c r="U15" i="4" s="1"/>
  <c r="U17" i="4" s="1" a="1"/>
  <c r="U17" i="4" s="1"/>
  <c r="O15" i="4" a="1"/>
  <c r="O15" i="4" s="1"/>
  <c r="N15" i="4" a="1"/>
  <c r="N15" i="4" s="1"/>
  <c r="M15" i="4" a="1"/>
  <c r="M15" i="4" s="1"/>
  <c r="K15" i="4" a="1"/>
  <c r="K15" i="4" s="1"/>
  <c r="J15" i="4" a="1"/>
  <c r="J15" i="4" s="1"/>
  <c r="I15" i="4" a="1"/>
  <c r="I15" i="4" s="1"/>
  <c r="E15" i="4" a="1"/>
  <c r="E15" i="4" s="1"/>
  <c r="D15" i="4" a="1"/>
  <c r="D15" i="4" s="1"/>
  <c r="C15" i="4" a="1"/>
  <c r="C15" i="4" s="1"/>
  <c r="B15" i="4" a="1"/>
  <c r="B15" i="4" s="1"/>
  <c r="A15" i="4"/>
  <c r="V13" i="4" a="1"/>
  <c r="V13" i="4" s="1"/>
  <c r="T13" i="4" a="1"/>
  <c r="T13" i="4" s="1"/>
  <c r="S13" i="4" a="1"/>
  <c r="S13" i="4" s="1"/>
  <c r="R13" i="4" a="1"/>
  <c r="R13" i="4" s="1"/>
  <c r="Q13" i="4" a="1"/>
  <c r="Q13" i="4" s="1"/>
  <c r="P13" i="4" a="1"/>
  <c r="P13" i="4" s="1"/>
  <c r="O13" i="4" a="1"/>
  <c r="O13" i="4" s="1"/>
  <c r="N13" i="4" a="1"/>
  <c r="N13" i="4" s="1"/>
  <c r="M13" i="4" a="1"/>
  <c r="M13" i="4" s="1"/>
  <c r="L13" i="4" a="1"/>
  <c r="L13" i="4" s="1"/>
  <c r="K13" i="4" a="1"/>
  <c r="K13" i="4" s="1"/>
  <c r="J13" i="4" a="1"/>
  <c r="J13" i="4" s="1"/>
  <c r="I13" i="4" a="1"/>
  <c r="I13" i="4" s="1"/>
  <c r="H13" i="4" a="1"/>
  <c r="H13" i="4" s="1"/>
  <c r="G13" i="4" a="1"/>
  <c r="G13" i="4" s="1"/>
  <c r="B13" i="4" a="1"/>
  <c r="B13" i="4" s="1"/>
  <c r="A13" i="4"/>
  <c r="V12" i="4" a="1"/>
  <c r="V12" i="4" s="1"/>
  <c r="U12" i="4" a="1"/>
  <c r="U12" i="4" s="1"/>
  <c r="U14" i="4" s="1" a="1"/>
  <c r="U14" i="4" s="1"/>
  <c r="T12" i="4" a="1"/>
  <c r="T12" i="4" s="1"/>
  <c r="O12" i="4" a="1"/>
  <c r="O12" i="4" s="1"/>
  <c r="N12" i="4" a="1"/>
  <c r="N12" i="4" s="1"/>
  <c r="J12" i="4" a="1"/>
  <c r="J12" i="4" s="1"/>
  <c r="H12" i="4" a="1"/>
  <c r="H12" i="4" s="1"/>
  <c r="G12" i="4" a="1"/>
  <c r="G12" i="4" s="1"/>
  <c r="E12" i="4" a="1"/>
  <c r="E12" i="4" s="1"/>
  <c r="D12" i="4" a="1"/>
  <c r="D12" i="4" s="1"/>
  <c r="C12" i="4" a="1"/>
  <c r="C12" i="4" s="1"/>
  <c r="B12" i="4" a="1"/>
  <c r="B12" i="4" s="1"/>
  <c r="A12" i="4"/>
  <c r="D6" i="4"/>
  <c r="D5" i="4"/>
  <c r="AE4" i="4"/>
  <c r="AD4" i="4"/>
  <c r="AC4" i="4"/>
  <c r="D4" i="4"/>
  <c r="D3" i="4"/>
  <c r="T60" i="3"/>
  <c r="V169" i="4" s="1" a="1"/>
  <c r="V169" i="4" s="1"/>
  <c r="S60" i="3"/>
  <c r="T169" i="4" s="1" a="1"/>
  <c r="T169" i="4" s="1"/>
  <c r="R60" i="3"/>
  <c r="S169" i="4" s="1" a="1"/>
  <c r="S169" i="4" s="1"/>
  <c r="Q60" i="3"/>
  <c r="R169" i="4" s="1" a="1"/>
  <c r="R169" i="4" s="1"/>
  <c r="P60" i="3"/>
  <c r="Q169" i="4" s="1" a="1"/>
  <c r="Q169" i="4" s="1"/>
  <c r="N60" i="3"/>
  <c r="O169" i="4" s="1" a="1"/>
  <c r="O169" i="4" s="1"/>
  <c r="M60" i="3"/>
  <c r="N169" i="4" s="1" a="1"/>
  <c r="N169" i="4" s="1"/>
  <c r="L60" i="3"/>
  <c r="M169" i="4" s="1" a="1"/>
  <c r="M169" i="4" s="1"/>
  <c r="K60" i="3"/>
  <c r="L169" i="4" s="1" a="1"/>
  <c r="L169" i="4" s="1"/>
  <c r="J60" i="3"/>
  <c r="K169" i="4" s="1" a="1"/>
  <c r="K169" i="4" s="1"/>
  <c r="I60" i="3"/>
  <c r="J169" i="4" s="1" a="1"/>
  <c r="J169" i="4" s="1"/>
  <c r="H60" i="3"/>
  <c r="I169" i="4" s="1" a="1"/>
  <c r="I169" i="4" s="1"/>
  <c r="G60" i="3"/>
  <c r="H169" i="4" s="1" a="1"/>
  <c r="H169" i="4" s="1"/>
  <c r="F60" i="3"/>
  <c r="G169" i="4" s="1" a="1"/>
  <c r="G169" i="4" s="1"/>
  <c r="T59" i="3"/>
  <c r="V166" i="4" s="1" a="1"/>
  <c r="V166" i="4" s="1"/>
  <c r="S59" i="3"/>
  <c r="T166" i="4" s="1" a="1"/>
  <c r="T166" i="4" s="1"/>
  <c r="R59" i="3"/>
  <c r="S166" i="4" s="1" a="1"/>
  <c r="S166" i="4" s="1"/>
  <c r="Q59" i="3"/>
  <c r="R166" i="4" s="1" a="1"/>
  <c r="R166" i="4" s="1"/>
  <c r="P59" i="3"/>
  <c r="Q166" i="4" s="1" a="1"/>
  <c r="Q166" i="4" s="1"/>
  <c r="N59" i="3"/>
  <c r="O166" i="4" s="1" a="1"/>
  <c r="O166" i="4" s="1"/>
  <c r="M59" i="3"/>
  <c r="N166" i="4" s="1" a="1"/>
  <c r="N166" i="4" s="1"/>
  <c r="L59" i="3"/>
  <c r="M166" i="4" s="1" a="1"/>
  <c r="M166" i="4" s="1"/>
  <c r="K59" i="3"/>
  <c r="L166" i="4" s="1" a="1"/>
  <c r="L166" i="4" s="1"/>
  <c r="J59" i="3"/>
  <c r="K166" i="4" s="1" a="1"/>
  <c r="K166" i="4" s="1"/>
  <c r="I59" i="3"/>
  <c r="J166" i="4" s="1" a="1"/>
  <c r="J166" i="4" s="1"/>
  <c r="H59" i="3"/>
  <c r="I166" i="4" s="1" a="1"/>
  <c r="I166" i="4" s="1"/>
  <c r="G59" i="3"/>
  <c r="H166" i="4" s="1" a="1"/>
  <c r="H166" i="4" s="1"/>
  <c r="F59" i="3"/>
  <c r="G166" i="4" s="1" a="1"/>
  <c r="G166" i="4" s="1"/>
  <c r="T58" i="3"/>
  <c r="V163" i="4" s="1" a="1"/>
  <c r="V163" i="4" s="1"/>
  <c r="S58" i="3"/>
  <c r="T163" i="4" s="1" a="1"/>
  <c r="T163" i="4" s="1"/>
  <c r="R58" i="3"/>
  <c r="S163" i="4" s="1" a="1"/>
  <c r="S163" i="4" s="1"/>
  <c r="Q58" i="3"/>
  <c r="P58" i="3"/>
  <c r="Q163" i="4" s="1" a="1"/>
  <c r="Q163" i="4" s="1"/>
  <c r="N58" i="3"/>
  <c r="O163" i="4" s="1" a="1"/>
  <c r="O163" i="4" s="1"/>
  <c r="M58" i="3"/>
  <c r="N163" i="4" s="1" a="1"/>
  <c r="N163" i="4" s="1"/>
  <c r="L58" i="3"/>
  <c r="M163" i="4" s="1" a="1"/>
  <c r="M163" i="4" s="1"/>
  <c r="K58" i="3"/>
  <c r="L163" i="4" s="1" a="1"/>
  <c r="L163" i="4" s="1"/>
  <c r="J58" i="3"/>
  <c r="K163" i="4" s="1" a="1"/>
  <c r="K163" i="4" s="1"/>
  <c r="I58" i="3"/>
  <c r="J163" i="4" s="1" a="1"/>
  <c r="J163" i="4" s="1"/>
  <c r="H58" i="3"/>
  <c r="I163" i="4" s="1" a="1"/>
  <c r="I163" i="4" s="1"/>
  <c r="G58" i="3"/>
  <c r="H163" i="4" s="1" a="1"/>
  <c r="H163" i="4" s="1"/>
  <c r="F58" i="3"/>
  <c r="G163" i="4" s="1" a="1"/>
  <c r="G163" i="4" s="1"/>
  <c r="T57" i="3"/>
  <c r="V160" i="4" s="1" a="1"/>
  <c r="V160" i="4" s="1"/>
  <c r="S57" i="3"/>
  <c r="R57" i="3"/>
  <c r="S160" i="4" s="1" a="1"/>
  <c r="S160" i="4" s="1"/>
  <c r="Q57" i="3"/>
  <c r="R160" i="4" s="1" a="1"/>
  <c r="R160" i="4" s="1"/>
  <c r="P57" i="3"/>
  <c r="Q160" i="4" s="1" a="1"/>
  <c r="Q160" i="4" s="1"/>
  <c r="N57" i="3"/>
  <c r="O160" i="4" s="1" a="1"/>
  <c r="O160" i="4" s="1"/>
  <c r="M57" i="3"/>
  <c r="N160" i="4" s="1" a="1"/>
  <c r="N160" i="4" s="1"/>
  <c r="L57" i="3"/>
  <c r="M160" i="4" s="1" a="1"/>
  <c r="M160" i="4" s="1"/>
  <c r="K57" i="3"/>
  <c r="L160" i="4" s="1" a="1"/>
  <c r="L160" i="4" s="1"/>
  <c r="J57" i="3"/>
  <c r="K160" i="4" s="1" a="1"/>
  <c r="K160" i="4" s="1"/>
  <c r="I57" i="3"/>
  <c r="J160" i="4" s="1" a="1"/>
  <c r="J160" i="4" s="1"/>
  <c r="H57" i="3"/>
  <c r="I160" i="4" s="1" a="1"/>
  <c r="I160" i="4" s="1"/>
  <c r="G57" i="3"/>
  <c r="H160" i="4" s="1" a="1"/>
  <c r="H160" i="4" s="1"/>
  <c r="F57" i="3"/>
  <c r="G160" i="4" s="1" a="1"/>
  <c r="G160" i="4" s="1"/>
  <c r="T56" i="3"/>
  <c r="S56" i="3"/>
  <c r="T157" i="4" s="1" a="1"/>
  <c r="T157" i="4" s="1"/>
  <c r="R56" i="3"/>
  <c r="S157" i="4" s="1" a="1"/>
  <c r="S157" i="4" s="1"/>
  <c r="Q56" i="3"/>
  <c r="R157" i="4" s="1" a="1"/>
  <c r="R157" i="4" s="1"/>
  <c r="P56" i="3"/>
  <c r="Q157" i="4" s="1" a="1"/>
  <c r="Q157" i="4" s="1"/>
  <c r="N56" i="3"/>
  <c r="O157" i="4" s="1" a="1"/>
  <c r="O157" i="4" s="1"/>
  <c r="M56" i="3"/>
  <c r="N157" i="4" s="1" a="1"/>
  <c r="N157" i="4" s="1"/>
  <c r="L56" i="3"/>
  <c r="M157" i="4" s="1" a="1"/>
  <c r="M157" i="4" s="1"/>
  <c r="K56" i="3"/>
  <c r="L157" i="4" s="1" a="1"/>
  <c r="L157" i="4" s="1"/>
  <c r="J56" i="3"/>
  <c r="K157" i="4" s="1" a="1"/>
  <c r="K157" i="4" s="1"/>
  <c r="I56" i="3"/>
  <c r="J157" i="4" s="1" a="1"/>
  <c r="J157" i="4" s="1"/>
  <c r="H56" i="3"/>
  <c r="G56" i="3"/>
  <c r="H157" i="4" s="1" a="1"/>
  <c r="H157" i="4" s="1"/>
  <c r="F56" i="3"/>
  <c r="G157" i="4" s="1" a="1"/>
  <c r="G157" i="4" s="1"/>
  <c r="T55" i="3"/>
  <c r="V154" i="4" s="1" a="1"/>
  <c r="V154" i="4" s="1"/>
  <c r="S55" i="3"/>
  <c r="T154" i="4" s="1" a="1"/>
  <c r="T154" i="4" s="1"/>
  <c r="R55" i="3"/>
  <c r="S154" i="4" s="1" a="1"/>
  <c r="S154" i="4" s="1"/>
  <c r="Q55" i="3"/>
  <c r="R154" i="4" s="1" a="1"/>
  <c r="R154" i="4" s="1"/>
  <c r="P55" i="3"/>
  <c r="Q154" i="4" s="1" a="1"/>
  <c r="Q154" i="4" s="1"/>
  <c r="N55" i="3"/>
  <c r="M55" i="3"/>
  <c r="L55" i="3"/>
  <c r="K55" i="3"/>
  <c r="L154" i="4" s="1" a="1"/>
  <c r="L154" i="4" s="1"/>
  <c r="J55" i="3"/>
  <c r="K154" i="4" s="1" a="1"/>
  <c r="K154" i="4" s="1"/>
  <c r="I55" i="3"/>
  <c r="J154" i="4" s="1" a="1"/>
  <c r="J154" i="4" s="1"/>
  <c r="H55" i="3"/>
  <c r="G55" i="3"/>
  <c r="F55" i="3"/>
  <c r="T54" i="3"/>
  <c r="S54" i="3"/>
  <c r="R54" i="3"/>
  <c r="Q54" i="3"/>
  <c r="P54" i="3"/>
  <c r="N54" i="3"/>
  <c r="O151" i="4" s="1" a="1"/>
  <c r="O151" i="4" s="1"/>
  <c r="M54" i="3"/>
  <c r="N151" i="4" s="1" a="1"/>
  <c r="N151" i="4" s="1"/>
  <c r="L54" i="3"/>
  <c r="K54" i="3"/>
  <c r="J54" i="3"/>
  <c r="I54" i="3"/>
  <c r="H54" i="3"/>
  <c r="G54" i="3"/>
  <c r="F54" i="3"/>
  <c r="T53" i="3"/>
  <c r="V148" i="4" s="1" a="1"/>
  <c r="V148" i="4" s="1"/>
  <c r="S53" i="3"/>
  <c r="T148" i="4" s="1" a="1"/>
  <c r="T148" i="4" s="1"/>
  <c r="R53" i="3"/>
  <c r="S148" i="4" s="1" a="1"/>
  <c r="S148" i="4" s="1"/>
  <c r="Q53" i="3"/>
  <c r="R148" i="4" s="1" a="1"/>
  <c r="R148" i="4" s="1"/>
  <c r="P53" i="3"/>
  <c r="Q148" i="4" s="1" a="1"/>
  <c r="Q148" i="4" s="1"/>
  <c r="N53" i="3"/>
  <c r="M53" i="3"/>
  <c r="L53" i="3"/>
  <c r="K53" i="3"/>
  <c r="J53" i="3"/>
  <c r="I53" i="3"/>
  <c r="H53" i="3"/>
  <c r="I148" i="4" s="1" a="1"/>
  <c r="I148" i="4" s="1"/>
  <c r="G53" i="3"/>
  <c r="H148" i="4" s="1" a="1"/>
  <c r="H148" i="4" s="1"/>
  <c r="F53" i="3"/>
  <c r="G148" i="4" s="1" a="1"/>
  <c r="G148" i="4" s="1"/>
  <c r="T52" i="3"/>
  <c r="V145" i="4" s="1" a="1"/>
  <c r="V145" i="4" s="1"/>
  <c r="S52" i="3"/>
  <c r="T145" i="4" s="1" a="1"/>
  <c r="T145" i="4" s="1"/>
  <c r="R52" i="3"/>
  <c r="S145" i="4" s="1" a="1"/>
  <c r="S145" i="4" s="1"/>
  <c r="Q52" i="3"/>
  <c r="P52" i="3"/>
  <c r="N52" i="3"/>
  <c r="M52" i="3"/>
  <c r="L52" i="3"/>
  <c r="K52" i="3"/>
  <c r="J52" i="3"/>
  <c r="I52" i="3"/>
  <c r="H52" i="3"/>
  <c r="I145" i="4" s="1" a="1"/>
  <c r="I145" i="4" s="1"/>
  <c r="G52" i="3"/>
  <c r="H145" i="4" s="1" a="1"/>
  <c r="H145" i="4" s="1"/>
  <c r="F52" i="3"/>
  <c r="G145" i="4" s="1" a="1"/>
  <c r="G145" i="4" s="1"/>
  <c r="T51" i="3"/>
  <c r="V142" i="4" s="1" a="1"/>
  <c r="V142" i="4" s="1"/>
  <c r="S51" i="3"/>
  <c r="R51" i="3"/>
  <c r="Q51" i="3"/>
  <c r="P51" i="3"/>
  <c r="N51" i="3"/>
  <c r="M51" i="3"/>
  <c r="L51" i="3"/>
  <c r="M142" i="4" s="1" a="1"/>
  <c r="M142" i="4" s="1"/>
  <c r="K51" i="3"/>
  <c r="L142" i="4" s="1" a="1"/>
  <c r="L142" i="4" s="1"/>
  <c r="J51" i="3"/>
  <c r="K142" i="4" s="1" a="1"/>
  <c r="K142" i="4" s="1"/>
  <c r="I51" i="3"/>
  <c r="J142" i="4" s="1" a="1"/>
  <c r="J142" i="4" s="1"/>
  <c r="H51" i="3"/>
  <c r="I142" i="4" s="1" a="1"/>
  <c r="I142" i="4" s="1"/>
  <c r="G51" i="3"/>
  <c r="H142" i="4" s="1" a="1"/>
  <c r="H142" i="4" s="1"/>
  <c r="F51" i="3"/>
  <c r="T50" i="3"/>
  <c r="S50" i="3"/>
  <c r="R50" i="3"/>
  <c r="Q50" i="3"/>
  <c r="P50" i="3"/>
  <c r="N50" i="3"/>
  <c r="O139" i="4" s="1" a="1"/>
  <c r="O139" i="4" s="1"/>
  <c r="M50" i="3"/>
  <c r="N139" i="4" s="1" a="1"/>
  <c r="N139" i="4" s="1"/>
  <c r="L50" i="3"/>
  <c r="M139" i="4" s="1" a="1"/>
  <c r="M139" i="4" s="1"/>
  <c r="K50" i="3"/>
  <c r="L139" i="4" s="1" a="1"/>
  <c r="L139" i="4" s="1"/>
  <c r="J50" i="3"/>
  <c r="K139" i="4" s="1" a="1"/>
  <c r="K139" i="4" s="1"/>
  <c r="I50" i="3"/>
  <c r="J139" i="4" s="1" a="1"/>
  <c r="J139" i="4" s="1"/>
  <c r="H50" i="3"/>
  <c r="G50" i="3"/>
  <c r="F50" i="3"/>
  <c r="T49" i="3"/>
  <c r="S49" i="3"/>
  <c r="R49" i="3"/>
  <c r="Q49" i="3"/>
  <c r="P49" i="3"/>
  <c r="N49" i="3"/>
  <c r="M49" i="3"/>
  <c r="N136" i="4" s="1" a="1"/>
  <c r="N136" i="4" s="1"/>
  <c r="L49" i="3"/>
  <c r="M136" i="4" s="1" a="1"/>
  <c r="M136" i="4" s="1"/>
  <c r="K49" i="3"/>
  <c r="L136" i="4" s="1" a="1"/>
  <c r="L136" i="4" s="1"/>
  <c r="J49" i="3"/>
  <c r="I49" i="3"/>
  <c r="H49" i="3"/>
  <c r="G49" i="3"/>
  <c r="F49" i="3"/>
  <c r="T48" i="3"/>
  <c r="V133" i="4" s="1" a="1"/>
  <c r="V133" i="4" s="1"/>
  <c r="S48" i="3"/>
  <c r="T133" i="4" s="1" a="1"/>
  <c r="T133" i="4" s="1"/>
  <c r="Q48" i="3"/>
  <c r="R133" i="4" s="1" a="1"/>
  <c r="R133" i="4" s="1"/>
  <c r="P48" i="3"/>
  <c r="Q133" i="4" s="1" a="1"/>
  <c r="Q133" i="4" s="1"/>
  <c r="N48" i="3"/>
  <c r="O133" i="4" s="1" a="1"/>
  <c r="O133" i="4" s="1"/>
  <c r="M48" i="3"/>
  <c r="N133" i="4" s="1" a="1"/>
  <c r="N133" i="4" s="1"/>
  <c r="L48" i="3"/>
  <c r="M133" i="4" s="1" a="1"/>
  <c r="M133" i="4" s="1"/>
  <c r="K48" i="3"/>
  <c r="L133" i="4" s="1" a="1"/>
  <c r="L133" i="4" s="1"/>
  <c r="J48" i="3"/>
  <c r="K133" i="4" s="1" a="1"/>
  <c r="K133" i="4" s="1"/>
  <c r="I48" i="3"/>
  <c r="J133" i="4" s="1" a="1"/>
  <c r="J133" i="4" s="1"/>
  <c r="H48" i="3"/>
  <c r="I133" i="4" s="1" a="1"/>
  <c r="I133" i="4" s="1"/>
  <c r="G48" i="3"/>
  <c r="H133" i="4" s="1" a="1"/>
  <c r="H133" i="4" s="1"/>
  <c r="F48" i="3"/>
  <c r="G133" i="4" s="1" a="1"/>
  <c r="G133" i="4" s="1"/>
  <c r="W47" i="3"/>
  <c r="V47" i="3"/>
  <c r="U47" i="3"/>
  <c r="W46" i="3"/>
  <c r="V46" i="3"/>
  <c r="U46" i="3"/>
  <c r="W45" i="3"/>
  <c r="V45" i="3"/>
  <c r="U45" i="3"/>
  <c r="W44" i="3"/>
  <c r="V44" i="3"/>
  <c r="U44" i="3"/>
  <c r="W43" i="3"/>
  <c r="V43" i="3"/>
  <c r="U43" i="3"/>
  <c r="W42" i="3"/>
  <c r="V42" i="3"/>
  <c r="U42" i="3"/>
  <c r="W41" i="3"/>
  <c r="V41" i="3"/>
  <c r="U41" i="3"/>
  <c r="W40" i="3"/>
  <c r="V40" i="3"/>
  <c r="U40" i="3"/>
  <c r="W39" i="3"/>
  <c r="V39" i="3"/>
  <c r="U39" i="3"/>
  <c r="W38" i="3"/>
  <c r="V38" i="3"/>
  <c r="U38" i="3"/>
  <c r="W37" i="3"/>
  <c r="V37" i="3"/>
  <c r="U37" i="3"/>
  <c r="W36" i="3"/>
  <c r="V36" i="3"/>
  <c r="U36" i="3"/>
  <c r="W35" i="3"/>
  <c r="V35" i="3"/>
  <c r="U35" i="3"/>
  <c r="W34" i="3"/>
  <c r="V34" i="3"/>
  <c r="U34" i="3"/>
  <c r="W33" i="3"/>
  <c r="V33" i="3"/>
  <c r="U33" i="3"/>
  <c r="W32" i="3"/>
  <c r="V32" i="3"/>
  <c r="U32" i="3"/>
  <c r="W31" i="3"/>
  <c r="V31" i="3"/>
  <c r="U31" i="3"/>
  <c r="W30" i="3"/>
  <c r="V30" i="3"/>
  <c r="U30" i="3"/>
  <c r="W29" i="3"/>
  <c r="V29" i="3"/>
  <c r="U29" i="3"/>
  <c r="W28" i="3"/>
  <c r="V28" i="3"/>
  <c r="U28" i="3"/>
  <c r="W27" i="3"/>
  <c r="V27" i="3"/>
  <c r="U27" i="3"/>
  <c r="W26" i="3"/>
  <c r="V26" i="3"/>
  <c r="U26" i="3"/>
  <c r="W25" i="3"/>
  <c r="V25" i="3"/>
  <c r="U25" i="3"/>
  <c r="W24" i="3"/>
  <c r="V24" i="3"/>
  <c r="U24" i="3"/>
  <c r="W23" i="3"/>
  <c r="V23" i="3"/>
  <c r="U23" i="3"/>
  <c r="W22" i="3"/>
  <c r="V22" i="3"/>
  <c r="U22" i="3"/>
  <c r="W21" i="3"/>
  <c r="V21" i="3"/>
  <c r="U21" i="3"/>
  <c r="W20" i="3"/>
  <c r="V20" i="3"/>
  <c r="U20" i="3"/>
  <c r="W19" i="3"/>
  <c r="V19" i="3"/>
  <c r="U19" i="3"/>
  <c r="W18" i="3"/>
  <c r="V18" i="3"/>
  <c r="U18" i="3"/>
  <c r="W17" i="3"/>
  <c r="V17" i="3"/>
  <c r="U17" i="3"/>
  <c r="W16" i="3"/>
  <c r="V16" i="3"/>
  <c r="U16" i="3"/>
  <c r="W15" i="3"/>
  <c r="V15" i="3"/>
  <c r="U15" i="3"/>
  <c r="W14" i="3"/>
  <c r="V14" i="3"/>
  <c r="U14" i="3"/>
  <c r="W13" i="3"/>
  <c r="V13" i="3"/>
  <c r="U13" i="3"/>
  <c r="W12" i="3"/>
  <c r="V12" i="3"/>
  <c r="U12" i="3"/>
  <c r="W11" i="3"/>
  <c r="V11" i="3"/>
  <c r="U11" i="3"/>
  <c r="W10" i="3"/>
  <c r="V10" i="3"/>
  <c r="U10" i="3"/>
  <c r="W9" i="3"/>
  <c r="V9" i="3"/>
  <c r="U9" i="3"/>
  <c r="W8" i="3"/>
  <c r="V8" i="3"/>
  <c r="U8" i="3"/>
  <c r="A2" i="3"/>
  <c r="BY51" i="2"/>
  <c r="BX51" i="2"/>
  <c r="BW51" i="2"/>
  <c r="BU51" i="2"/>
  <c r="BS51" i="2"/>
  <c r="BR51" i="2"/>
  <c r="BQ51" i="2"/>
  <c r="BO51" i="2"/>
  <c r="BN51" i="2"/>
  <c r="BM51" i="2"/>
  <c r="BK51" i="2"/>
  <c r="BJ51" i="2"/>
  <c r="BH51" i="2"/>
  <c r="BG51" i="2"/>
  <c r="BE51" i="2"/>
  <c r="BD51" i="2"/>
  <c r="BB51" i="2"/>
  <c r="O138" i="4" s="1" a="1"/>
  <c r="O138" i="4" s="1"/>
  <c r="BA51" i="2"/>
  <c r="AZ51" i="2"/>
  <c r="AY51" i="2"/>
  <c r="AX51" i="2"/>
  <c r="AV51" i="2"/>
  <c r="AU51" i="2"/>
  <c r="AT51" i="2"/>
  <c r="AS51" i="2"/>
  <c r="AR51" i="2"/>
  <c r="AP51" i="2"/>
  <c r="AO51" i="2"/>
  <c r="AN51" i="2"/>
  <c r="AM51" i="2"/>
  <c r="AL51" i="2"/>
  <c r="AJ51" i="2"/>
  <c r="AI51" i="2"/>
  <c r="AG51" i="2"/>
  <c r="AF51" i="2"/>
  <c r="AE51" i="2"/>
  <c r="AD51" i="2"/>
  <c r="AB51" i="2"/>
  <c r="AA51" i="2"/>
  <c r="Z51" i="2"/>
  <c r="Y51" i="2"/>
  <c r="W51" i="2"/>
  <c r="V51" i="2"/>
  <c r="U51" i="2"/>
  <c r="T51" i="2"/>
  <c r="S51" i="2"/>
  <c r="Q51" i="2"/>
  <c r="P51" i="2"/>
  <c r="O51" i="2"/>
  <c r="N51" i="2"/>
  <c r="M51" i="2"/>
  <c r="K51" i="2"/>
  <c r="J51" i="2"/>
  <c r="I51" i="2"/>
  <c r="H51" i="2"/>
  <c r="G51" i="2"/>
  <c r="BY50" i="2"/>
  <c r="BX50" i="2"/>
  <c r="BW50" i="2"/>
  <c r="BU50" i="2"/>
  <c r="BS50" i="2"/>
  <c r="BR50" i="2"/>
  <c r="BQ50" i="2"/>
  <c r="BO50" i="2"/>
  <c r="BN50" i="2"/>
  <c r="BM50" i="2"/>
  <c r="BK50" i="2"/>
  <c r="BJ50" i="2"/>
  <c r="BH50" i="2"/>
  <c r="BG50" i="2"/>
  <c r="BE50" i="2"/>
  <c r="BD50" i="2"/>
  <c r="BB50" i="2"/>
  <c r="O135" i="4" s="1" a="1"/>
  <c r="O135" i="4" s="1"/>
  <c r="BA50" i="2"/>
  <c r="AZ50" i="2"/>
  <c r="AY50" i="2"/>
  <c r="AX50" i="2"/>
  <c r="AV50" i="2"/>
  <c r="AU50" i="2"/>
  <c r="AT50" i="2"/>
  <c r="AS50" i="2"/>
  <c r="AR50" i="2"/>
  <c r="AP50" i="2"/>
  <c r="AO50" i="2"/>
  <c r="AN50" i="2"/>
  <c r="AM50" i="2"/>
  <c r="AL50" i="2"/>
  <c r="AJ50" i="2"/>
  <c r="AI50" i="2"/>
  <c r="AG50" i="2"/>
  <c r="AF50" i="2"/>
  <c r="AE50" i="2"/>
  <c r="AD50" i="2"/>
  <c r="AB50" i="2"/>
  <c r="AA50" i="2"/>
  <c r="Z50" i="2"/>
  <c r="Y50" i="2"/>
  <c r="W50" i="2"/>
  <c r="V50" i="2"/>
  <c r="U50" i="2"/>
  <c r="T50" i="2"/>
  <c r="S50" i="2"/>
  <c r="Q50" i="2"/>
  <c r="P50" i="2"/>
  <c r="O50" i="2"/>
  <c r="N50" i="2"/>
  <c r="M50" i="2"/>
  <c r="K50" i="2"/>
  <c r="J50" i="2"/>
  <c r="I50" i="2"/>
  <c r="H50" i="2"/>
  <c r="G50" i="2"/>
  <c r="BY49" i="2"/>
  <c r="BX49" i="2"/>
  <c r="BW49" i="2"/>
  <c r="BU49" i="2"/>
  <c r="BS49" i="2"/>
  <c r="BR49" i="2"/>
  <c r="BQ49" i="2"/>
  <c r="BO49" i="2"/>
  <c r="BN49" i="2"/>
  <c r="BM49" i="2"/>
  <c r="BK49" i="2"/>
  <c r="BJ49" i="2"/>
  <c r="BH49" i="2"/>
  <c r="BG49" i="2"/>
  <c r="BE49" i="2"/>
  <c r="BD49" i="2"/>
  <c r="BB49" i="2"/>
  <c r="O132" i="4" s="1" a="1"/>
  <c r="O132" i="4" s="1"/>
  <c r="BA49" i="2"/>
  <c r="AZ49" i="2"/>
  <c r="AY49" i="2"/>
  <c r="AX49" i="2"/>
  <c r="AV49" i="2"/>
  <c r="AU49" i="2"/>
  <c r="AT49" i="2"/>
  <c r="AS49" i="2"/>
  <c r="AR49" i="2"/>
  <c r="AP49" i="2"/>
  <c r="AO49" i="2"/>
  <c r="AN49" i="2"/>
  <c r="AM49" i="2"/>
  <c r="AL49" i="2"/>
  <c r="AJ49" i="2"/>
  <c r="AI49" i="2"/>
  <c r="AG49" i="2"/>
  <c r="AF49" i="2"/>
  <c r="AE49" i="2"/>
  <c r="AD49" i="2"/>
  <c r="AB49" i="2"/>
  <c r="AA49" i="2"/>
  <c r="Z49" i="2"/>
  <c r="Y49" i="2"/>
  <c r="W49" i="2"/>
  <c r="V49" i="2"/>
  <c r="U49" i="2"/>
  <c r="T49" i="2"/>
  <c r="S49" i="2"/>
  <c r="Q49" i="2"/>
  <c r="P49" i="2"/>
  <c r="O49" i="2"/>
  <c r="N49" i="2"/>
  <c r="M49" i="2"/>
  <c r="K49" i="2"/>
  <c r="J49" i="2"/>
  <c r="I49" i="2"/>
  <c r="H49" i="2"/>
  <c r="G49" i="2"/>
  <c r="V195" i="4" a="1"/>
  <c r="V195" i="4" s="1"/>
  <c r="U195" i="4" a="1"/>
  <c r="U195" i="4" s="1"/>
  <c r="U197" i="4" s="1" a="1"/>
  <c r="U197" i="4" s="1"/>
  <c r="T195" i="4" a="1"/>
  <c r="T195" i="4" s="1"/>
  <c r="R195" i="4" a="1"/>
  <c r="R195" i="4" s="1"/>
  <c r="Q195" i="4" a="1"/>
  <c r="Q195" i="4" s="1"/>
  <c r="N195" i="4" a="1"/>
  <c r="N195" i="4" s="1"/>
  <c r="M195" i="4" a="1"/>
  <c r="M195" i="4" s="1"/>
  <c r="L195" i="4" a="1"/>
  <c r="L195" i="4" s="1"/>
  <c r="J195" i="4" a="1"/>
  <c r="J195" i="4" s="1"/>
  <c r="I195" i="4" a="1"/>
  <c r="I195" i="4" s="1"/>
  <c r="H195" i="4" a="1"/>
  <c r="H195" i="4" s="1"/>
  <c r="V192" i="4" a="1"/>
  <c r="V192" i="4" s="1"/>
  <c r="U192" i="4" a="1"/>
  <c r="U192" i="4" s="1"/>
  <c r="U194" i="4" s="1" a="1"/>
  <c r="U194" i="4" s="1"/>
  <c r="T192" i="4" a="1"/>
  <c r="T192" i="4" s="1"/>
  <c r="S192" i="4" a="1"/>
  <c r="S192" i="4" s="1"/>
  <c r="R192" i="4" a="1"/>
  <c r="R192" i="4" s="1"/>
  <c r="Q192" i="4" a="1"/>
  <c r="Q192" i="4" s="1"/>
  <c r="P192" i="4" a="1"/>
  <c r="P192" i="4" s="1"/>
  <c r="M192" i="4" a="1"/>
  <c r="M192" i="4" s="1"/>
  <c r="L192" i="4" a="1"/>
  <c r="L192" i="4" s="1"/>
  <c r="K192" i="4" a="1"/>
  <c r="K192" i="4" s="1"/>
  <c r="J192" i="4" a="1"/>
  <c r="J192" i="4" s="1"/>
  <c r="I192" i="4" a="1"/>
  <c r="I192" i="4" s="1"/>
  <c r="H192" i="4" a="1"/>
  <c r="H192" i="4" s="1"/>
  <c r="G192" i="4" a="1"/>
  <c r="G192" i="4" s="1"/>
  <c r="T189" i="4" a="1"/>
  <c r="T189" i="4" s="1"/>
  <c r="Q189" i="4" a="1"/>
  <c r="Q189" i="4" s="1"/>
  <c r="P189" i="4" a="1"/>
  <c r="P189" i="4" s="1"/>
  <c r="M189" i="4" a="1"/>
  <c r="M189" i="4" s="1"/>
  <c r="K189" i="4" a="1"/>
  <c r="K189" i="4" s="1"/>
  <c r="J189" i="4" a="1"/>
  <c r="J189" i="4" s="1"/>
  <c r="I189" i="4" a="1"/>
  <c r="I189" i="4" s="1"/>
  <c r="T186" i="4" a="1"/>
  <c r="T186" i="4" s="1"/>
  <c r="S186" i="4" a="1"/>
  <c r="S186" i="4" s="1"/>
  <c r="R186" i="4" a="1"/>
  <c r="R186" i="4" s="1"/>
  <c r="N186" i="4" a="1"/>
  <c r="N186" i="4" s="1"/>
  <c r="L186" i="4" a="1"/>
  <c r="L186" i="4" s="1"/>
  <c r="K186" i="4" a="1"/>
  <c r="K186" i="4" s="1"/>
  <c r="J186" i="4" a="1"/>
  <c r="J186" i="4" s="1"/>
  <c r="H186" i="4" a="1"/>
  <c r="H186" i="4" s="1"/>
  <c r="V183" i="4" a="1"/>
  <c r="V183" i="4" s="1"/>
  <c r="U183" i="4" a="1"/>
  <c r="U183" i="4" s="1"/>
  <c r="U185" i="4" s="1" a="1"/>
  <c r="U185" i="4" s="1"/>
  <c r="T183" i="4" a="1"/>
  <c r="T183" i="4" s="1"/>
  <c r="S183" i="4" a="1"/>
  <c r="S183" i="4" s="1"/>
  <c r="R183" i="4" a="1"/>
  <c r="R183" i="4" s="1"/>
  <c r="Q183" i="4" a="1"/>
  <c r="Q183" i="4" s="1"/>
  <c r="P183" i="4" a="1"/>
  <c r="P183" i="4" s="1"/>
  <c r="N183" i="4" a="1"/>
  <c r="N183" i="4" s="1"/>
  <c r="M183" i="4" a="1"/>
  <c r="M183" i="4" s="1"/>
  <c r="L183" i="4" a="1"/>
  <c r="L183" i="4" s="1"/>
  <c r="J183" i="4" a="1"/>
  <c r="J183" i="4" s="1"/>
  <c r="I183" i="4" a="1"/>
  <c r="I183" i="4" s="1"/>
  <c r="H183" i="4" a="1"/>
  <c r="H183" i="4" s="1"/>
  <c r="V180" i="4" a="1"/>
  <c r="V180" i="4" s="1"/>
  <c r="U180" i="4" a="1"/>
  <c r="U180" i="4" s="1"/>
  <c r="U182" i="4" s="1" a="1"/>
  <c r="U182" i="4" s="1"/>
  <c r="P180" i="4" a="1"/>
  <c r="P180" i="4" s="1"/>
  <c r="N180" i="4" a="1"/>
  <c r="N180" i="4" s="1"/>
  <c r="J180" i="4" a="1"/>
  <c r="J180" i="4" s="1"/>
  <c r="I180" i="4" a="1"/>
  <c r="I180" i="4" s="1"/>
  <c r="H180" i="4" a="1"/>
  <c r="H180" i="4" s="1"/>
  <c r="G180" i="4" a="1"/>
  <c r="G180" i="4" s="1"/>
  <c r="V177" i="4" a="1"/>
  <c r="V177" i="4" s="1"/>
  <c r="T177" i="4" a="1"/>
  <c r="T177" i="4" s="1"/>
  <c r="S177" i="4" a="1"/>
  <c r="S177" i="4" s="1"/>
  <c r="R177" i="4" a="1"/>
  <c r="R177" i="4" s="1"/>
  <c r="Q177" i="4" a="1"/>
  <c r="Q177" i="4" s="1"/>
  <c r="P177" i="4" a="1"/>
  <c r="P177" i="4" s="1"/>
  <c r="M177" i="4" a="1"/>
  <c r="M177" i="4" s="1"/>
  <c r="L177" i="4" a="1"/>
  <c r="L177" i="4" s="1"/>
  <c r="K177" i="4" a="1"/>
  <c r="K177" i="4" s="1"/>
  <c r="J177" i="4" a="1"/>
  <c r="J177" i="4" s="1"/>
  <c r="I177" i="4" a="1"/>
  <c r="I177" i="4" s="1"/>
  <c r="H177" i="4" a="1"/>
  <c r="H177" i="4" s="1"/>
  <c r="V174" i="4" a="1"/>
  <c r="V174" i="4" s="1"/>
  <c r="T174" i="4" a="1"/>
  <c r="T174" i="4" s="1"/>
  <c r="S174" i="4" a="1"/>
  <c r="S174" i="4" s="1"/>
  <c r="R174" i="4" a="1"/>
  <c r="R174" i="4" s="1"/>
  <c r="Q174" i="4" a="1"/>
  <c r="Q174" i="4" s="1"/>
  <c r="P174" i="4" a="1"/>
  <c r="P174" i="4" s="1"/>
  <c r="N174" i="4" a="1"/>
  <c r="N174" i="4" s="1"/>
  <c r="L174" i="4" a="1"/>
  <c r="L174" i="4" s="1"/>
  <c r="K174" i="4" a="1"/>
  <c r="K174" i="4" s="1"/>
  <c r="J174" i="4" a="1"/>
  <c r="J174" i="4" s="1"/>
  <c r="H174" i="4" a="1"/>
  <c r="H174" i="4" s="1"/>
  <c r="U171" i="4" a="1"/>
  <c r="U171" i="4" s="1"/>
  <c r="U173" i="4" s="1" a="1"/>
  <c r="U173" i="4" s="1"/>
  <c r="T171" i="4" a="1"/>
  <c r="T171" i="4" s="1"/>
  <c r="S171" i="4" a="1"/>
  <c r="S171" i="4" s="1"/>
  <c r="R171" i="4" a="1"/>
  <c r="R171" i="4" s="1"/>
  <c r="Q171" i="4" a="1"/>
  <c r="Q171" i="4" s="1"/>
  <c r="P171" i="4" a="1"/>
  <c r="P171" i="4" s="1"/>
  <c r="N171" i="4" a="1"/>
  <c r="N171" i="4" s="1"/>
  <c r="M171" i="4" a="1"/>
  <c r="M171" i="4" s="1"/>
  <c r="L171" i="4" a="1"/>
  <c r="L171" i="4" s="1"/>
  <c r="U168" i="4" a="1"/>
  <c r="U168" i="4" s="1"/>
  <c r="U170" i="4" s="1" a="1"/>
  <c r="U170" i="4" s="1"/>
  <c r="T168" i="4" a="1"/>
  <c r="T168" i="4" s="1"/>
  <c r="S168" i="4" a="1"/>
  <c r="S168" i="4" s="1"/>
  <c r="R168" i="4" a="1"/>
  <c r="R168" i="4" s="1"/>
  <c r="P168" i="4" a="1"/>
  <c r="P168" i="4" s="1"/>
  <c r="N168" i="4" a="1"/>
  <c r="N168" i="4" s="1"/>
  <c r="M168" i="4" a="1"/>
  <c r="M168" i="4" s="1"/>
  <c r="L168" i="4" a="1"/>
  <c r="L168" i="4" s="1"/>
  <c r="K168" i="4" a="1"/>
  <c r="K168" i="4" s="1"/>
  <c r="J168" i="4" a="1"/>
  <c r="J168" i="4" s="1"/>
  <c r="I168" i="4" a="1"/>
  <c r="I168" i="4" s="1"/>
  <c r="G168" i="4" a="1"/>
  <c r="G168" i="4" s="1"/>
  <c r="V165" i="4" a="1"/>
  <c r="V165" i="4" s="1"/>
  <c r="U165" i="4" a="1"/>
  <c r="U165" i="4" s="1"/>
  <c r="U167" i="4" s="1" a="1"/>
  <c r="U167" i="4" s="1"/>
  <c r="T165" i="4" a="1"/>
  <c r="T165" i="4" s="1"/>
  <c r="Q165" i="4" a="1"/>
  <c r="Q165" i="4" s="1"/>
  <c r="P165" i="4" a="1"/>
  <c r="P165" i="4" s="1"/>
  <c r="N165" i="4" a="1"/>
  <c r="N165" i="4" s="1"/>
  <c r="M165" i="4" a="1"/>
  <c r="M165" i="4" s="1"/>
  <c r="L165" i="4" a="1"/>
  <c r="L165" i="4" s="1"/>
  <c r="K165" i="4" a="1"/>
  <c r="K165" i="4" s="1"/>
  <c r="J165" i="4" a="1"/>
  <c r="J165" i="4" s="1"/>
  <c r="I165" i="4" a="1"/>
  <c r="I165" i="4" s="1"/>
  <c r="H165" i="4" a="1"/>
  <c r="H165" i="4" s="1"/>
  <c r="V162" i="4" a="1"/>
  <c r="V162" i="4" s="1"/>
  <c r="U162" i="4" a="1"/>
  <c r="U162" i="4" s="1"/>
  <c r="U164" i="4" s="1" a="1"/>
  <c r="U164" i="4" s="1"/>
  <c r="T162" i="4" a="1"/>
  <c r="T162" i="4" s="1"/>
  <c r="R162" i="4" a="1"/>
  <c r="R162" i="4" s="1"/>
  <c r="Q162" i="4" a="1"/>
  <c r="Q162" i="4" s="1"/>
  <c r="P162" i="4" a="1"/>
  <c r="P162" i="4" s="1"/>
  <c r="N162" i="4" a="1"/>
  <c r="N162" i="4" s="1"/>
  <c r="L162" i="4" a="1"/>
  <c r="L162" i="4" s="1"/>
  <c r="J162" i="4" a="1"/>
  <c r="J162" i="4" s="1"/>
  <c r="H162" i="4" a="1"/>
  <c r="H162" i="4" s="1"/>
  <c r="G162" i="4" a="1"/>
  <c r="G162" i="4" s="1"/>
  <c r="V159" i="4" a="1"/>
  <c r="V159" i="4" s="1"/>
  <c r="U159" i="4" a="1"/>
  <c r="U159" i="4" s="1"/>
  <c r="U161" i="4" s="1" a="1"/>
  <c r="U161" i="4" s="1"/>
  <c r="T159" i="4" a="1"/>
  <c r="T159" i="4" s="1"/>
  <c r="S159" i="4" a="1"/>
  <c r="S159" i="4" s="1"/>
  <c r="R159" i="4" a="1"/>
  <c r="R159" i="4" s="1"/>
  <c r="Q159" i="4" a="1"/>
  <c r="Q159" i="4" s="1"/>
  <c r="P159" i="4" a="1"/>
  <c r="P159" i="4" s="1"/>
  <c r="N159" i="4" a="1"/>
  <c r="N159" i="4" s="1"/>
  <c r="L159" i="4" a="1"/>
  <c r="L159" i="4" s="1"/>
  <c r="K159" i="4" a="1"/>
  <c r="K159" i="4" s="1"/>
  <c r="J159" i="4" a="1"/>
  <c r="J159" i="4" s="1"/>
  <c r="I159" i="4" a="1"/>
  <c r="I159" i="4" s="1"/>
  <c r="H159" i="4" a="1"/>
  <c r="H159" i="4" s="1"/>
  <c r="U156" i="4" a="1"/>
  <c r="U156" i="4" s="1"/>
  <c r="U158" i="4" s="1" a="1"/>
  <c r="U158" i="4" s="1"/>
  <c r="T156" i="4" a="1"/>
  <c r="T156" i="4" s="1"/>
  <c r="Q156" i="4" a="1"/>
  <c r="Q156" i="4" s="1"/>
  <c r="P156" i="4" a="1"/>
  <c r="P156" i="4" s="1"/>
  <c r="N156" i="4" a="1"/>
  <c r="N156" i="4" s="1"/>
  <c r="M156" i="4" a="1"/>
  <c r="M156" i="4" s="1"/>
  <c r="J156" i="4" a="1"/>
  <c r="J156" i="4" s="1"/>
  <c r="I156" i="4" a="1"/>
  <c r="I156" i="4" s="1"/>
  <c r="H156" i="4" a="1"/>
  <c r="H156" i="4" s="1"/>
  <c r="V153" i="4" a="1"/>
  <c r="V153" i="4" s="1"/>
  <c r="T153" i="4" a="1"/>
  <c r="T153" i="4" s="1"/>
  <c r="R153" i="4" a="1"/>
  <c r="R153" i="4" s="1"/>
  <c r="Q153" i="4" a="1"/>
  <c r="Q153" i="4" s="1"/>
  <c r="P153" i="4" a="1"/>
  <c r="P153" i="4" s="1"/>
  <c r="N153" i="4" a="1"/>
  <c r="N153" i="4" s="1"/>
  <c r="M153" i="4" a="1"/>
  <c r="M153" i="4" s="1"/>
  <c r="L153" i="4" a="1"/>
  <c r="L153" i="4" s="1"/>
  <c r="K153" i="4" a="1"/>
  <c r="K153" i="4" s="1"/>
  <c r="H153" i="4" a="1"/>
  <c r="H153" i="4" s="1"/>
  <c r="V150" i="4" a="1"/>
  <c r="V150" i="4" s="1"/>
  <c r="U150" i="4" a="1"/>
  <c r="U150" i="4" s="1"/>
  <c r="U152" i="4" s="1" a="1"/>
  <c r="U152" i="4" s="1"/>
  <c r="R150" i="4" a="1"/>
  <c r="R150" i="4" s="1"/>
  <c r="P150" i="4" a="1"/>
  <c r="P150" i="4" s="1"/>
  <c r="N150" i="4" a="1"/>
  <c r="N150" i="4" s="1"/>
  <c r="M150" i="4" a="1"/>
  <c r="M150" i="4" s="1"/>
  <c r="L150" i="4" a="1"/>
  <c r="L150" i="4" s="1"/>
  <c r="J150" i="4" a="1"/>
  <c r="J150" i="4" s="1"/>
  <c r="I150" i="4" a="1"/>
  <c r="I150" i="4" s="1"/>
  <c r="V147" i="4" a="1"/>
  <c r="V147" i="4" s="1"/>
  <c r="U147" i="4" a="1"/>
  <c r="U147" i="4" s="1"/>
  <c r="U149" i="4" s="1" a="1"/>
  <c r="U149" i="4" s="1"/>
  <c r="T147" i="4" a="1"/>
  <c r="T147" i="4" s="1"/>
  <c r="S147" i="4" a="1"/>
  <c r="S147" i="4" s="1"/>
  <c r="R147" i="4" a="1"/>
  <c r="R147" i="4" s="1"/>
  <c r="P147" i="4" a="1"/>
  <c r="P147" i="4" s="1"/>
  <c r="N147" i="4" a="1"/>
  <c r="N147" i="4" s="1"/>
  <c r="M147" i="4" a="1"/>
  <c r="M147" i="4" s="1"/>
  <c r="L147" i="4" a="1"/>
  <c r="L147" i="4" s="1"/>
  <c r="K147" i="4" a="1"/>
  <c r="K147" i="4" s="1"/>
  <c r="J147" i="4" a="1"/>
  <c r="J147" i="4" s="1"/>
  <c r="I147" i="4" a="1"/>
  <c r="I147" i="4" s="1"/>
  <c r="H147" i="4" a="1"/>
  <c r="H147" i="4" s="1"/>
  <c r="G147" i="4" a="1"/>
  <c r="G147" i="4" s="1"/>
  <c r="V144" i="4" a="1"/>
  <c r="V144" i="4" s="1"/>
  <c r="U144" i="4" a="1"/>
  <c r="U144" i="4" s="1"/>
  <c r="U146" i="4" s="1" a="1"/>
  <c r="U146" i="4" s="1"/>
  <c r="T144" i="4" a="1"/>
  <c r="T144" i="4" s="1"/>
  <c r="S144" i="4" a="1"/>
  <c r="S144" i="4" s="1"/>
  <c r="N144" i="4" a="1"/>
  <c r="N144" i="4" s="1"/>
  <c r="M144" i="4" a="1"/>
  <c r="M144" i="4" s="1"/>
  <c r="L144" i="4" a="1"/>
  <c r="L144" i="4" s="1"/>
  <c r="K144" i="4" a="1"/>
  <c r="K144" i="4" s="1"/>
  <c r="J144" i="4" a="1"/>
  <c r="J144" i="4" s="1"/>
  <c r="I144" i="4" a="1"/>
  <c r="I144" i="4" s="1"/>
  <c r="V141" i="4" a="1"/>
  <c r="V141" i="4" s="1"/>
  <c r="U141" i="4" a="1"/>
  <c r="U141" i="4" s="1"/>
  <c r="U143" i="4" s="1" a="1"/>
  <c r="U143" i="4" s="1"/>
  <c r="T141" i="4" a="1"/>
  <c r="T141" i="4" s="1"/>
  <c r="S141" i="4" a="1"/>
  <c r="S141" i="4" s="1"/>
  <c r="R141" i="4" a="1"/>
  <c r="R141" i="4" s="1"/>
  <c r="Q141" i="4" a="1"/>
  <c r="Q141" i="4" s="1"/>
  <c r="N141" i="4" a="1"/>
  <c r="N141" i="4" s="1"/>
  <c r="K141" i="4" a="1"/>
  <c r="K141" i="4" s="1"/>
  <c r="I141" i="4" a="1"/>
  <c r="I141" i="4" s="1"/>
  <c r="H141" i="4" a="1"/>
  <c r="H141" i="4" s="1"/>
  <c r="H132" i="4" a="1"/>
  <c r="H132" i="4" s="1"/>
  <c r="V129" i="4" a="1"/>
  <c r="V129" i="4" s="1"/>
  <c r="U129" i="4" a="1"/>
  <c r="U129" i="4" s="1"/>
  <c r="U131" i="4" s="1" a="1"/>
  <c r="U131" i="4" s="1"/>
  <c r="Q129" i="4" a="1"/>
  <c r="Q129" i="4" s="1"/>
  <c r="P129" i="4" a="1"/>
  <c r="P129" i="4" s="1"/>
  <c r="N129" i="4" a="1"/>
  <c r="N129" i="4" s="1"/>
  <c r="L129" i="4" a="1"/>
  <c r="L129" i="4" s="1"/>
  <c r="K129" i="4" a="1"/>
  <c r="K129" i="4" s="1"/>
  <c r="J129" i="4" a="1"/>
  <c r="J129" i="4" s="1"/>
  <c r="I129" i="4" a="1"/>
  <c r="I129" i="4" s="1"/>
  <c r="H129" i="4" a="1"/>
  <c r="H129" i="4" s="1"/>
  <c r="G129" i="4" a="1"/>
  <c r="G129" i="4" s="1"/>
  <c r="E47" i="3"/>
  <c r="E48" i="2"/>
  <c r="D48" i="2"/>
  <c r="D47" i="3" s="1"/>
  <c r="B48" i="2"/>
  <c r="B47" i="3" s="1"/>
  <c r="V126" i="4" a="1"/>
  <c r="V126" i="4" s="1"/>
  <c r="U126" i="4" a="1"/>
  <c r="U126" i="4" s="1"/>
  <c r="U128" i="4" s="1" a="1"/>
  <c r="U128" i="4" s="1"/>
  <c r="T126" i="4" a="1"/>
  <c r="T126" i="4" s="1"/>
  <c r="S126" i="4" a="1"/>
  <c r="S126" i="4" s="1"/>
  <c r="R126" i="4" a="1"/>
  <c r="R126" i="4" s="1"/>
  <c r="Q126" i="4" a="1"/>
  <c r="Q126" i="4" s="1"/>
  <c r="P126" i="4" a="1"/>
  <c r="P126" i="4" s="1"/>
  <c r="L126" i="4" a="1"/>
  <c r="L126" i="4" s="1"/>
  <c r="K126" i="4" a="1"/>
  <c r="K126" i="4" s="1"/>
  <c r="J126" i="4" a="1"/>
  <c r="J126" i="4" s="1"/>
  <c r="I126" i="4" a="1"/>
  <c r="I126" i="4" s="1"/>
  <c r="H126" i="4" a="1"/>
  <c r="H126" i="4" s="1"/>
  <c r="E46" i="3"/>
  <c r="E47" i="2"/>
  <c r="D47" i="2"/>
  <c r="D46" i="3" s="1"/>
  <c r="C46" i="3"/>
  <c r="B47" i="2"/>
  <c r="B46" i="3" s="1"/>
  <c r="S123" i="4" a="1"/>
  <c r="S123" i="4" s="1"/>
  <c r="R123" i="4" a="1"/>
  <c r="R123" i="4" s="1"/>
  <c r="Q123" i="4" a="1"/>
  <c r="Q123" i="4" s="1"/>
  <c r="P123" i="4" a="1"/>
  <c r="P123" i="4" s="1"/>
  <c r="N123" i="4" a="1"/>
  <c r="N123" i="4" s="1"/>
  <c r="J123" i="4" a="1"/>
  <c r="J123" i="4" s="1"/>
  <c r="H123" i="4" a="1"/>
  <c r="H123" i="4" s="1"/>
  <c r="E45" i="3"/>
  <c r="E46" i="2"/>
  <c r="D46" i="2"/>
  <c r="D45" i="3" s="1"/>
  <c r="C45" i="3"/>
  <c r="B46" i="2"/>
  <c r="B45" i="3" s="1"/>
  <c r="U120" i="4" a="1"/>
  <c r="U120" i="4" s="1"/>
  <c r="U122" i="4" s="1" a="1"/>
  <c r="U122" i="4" s="1"/>
  <c r="T120" i="4" a="1"/>
  <c r="T120" i="4" s="1"/>
  <c r="R120" i="4" a="1"/>
  <c r="R120" i="4" s="1"/>
  <c r="Q120" i="4" a="1"/>
  <c r="Q120" i="4" s="1"/>
  <c r="P120" i="4" a="1"/>
  <c r="P120" i="4" s="1"/>
  <c r="N120" i="4" a="1"/>
  <c r="N120" i="4" s="1"/>
  <c r="M120" i="4" a="1"/>
  <c r="M120" i="4" s="1"/>
  <c r="J120" i="4" a="1"/>
  <c r="J120" i="4" s="1"/>
  <c r="I120" i="4" a="1"/>
  <c r="I120" i="4" s="1"/>
  <c r="H120" i="4" a="1"/>
  <c r="H120" i="4" s="1"/>
  <c r="G120" i="4" a="1"/>
  <c r="G120" i="4" s="1"/>
  <c r="E44" i="3"/>
  <c r="E45" i="2"/>
  <c r="D45" i="2"/>
  <c r="D44" i="3" s="1"/>
  <c r="B45" i="2"/>
  <c r="B44" i="3" s="1"/>
  <c r="T117" i="4" a="1"/>
  <c r="T117" i="4" s="1"/>
  <c r="R117" i="4" a="1"/>
  <c r="R117" i="4" s="1"/>
  <c r="Q117" i="4" a="1"/>
  <c r="Q117" i="4" s="1"/>
  <c r="P117" i="4" a="1"/>
  <c r="P117" i="4" s="1"/>
  <c r="N117" i="4" a="1"/>
  <c r="N117" i="4" s="1"/>
  <c r="M117" i="4" a="1"/>
  <c r="M117" i="4" s="1"/>
  <c r="L117" i="4" a="1"/>
  <c r="L117" i="4" s="1"/>
  <c r="K117" i="4" a="1"/>
  <c r="K117" i="4" s="1"/>
  <c r="G117" i="4" a="1"/>
  <c r="G117" i="4" s="1"/>
  <c r="E43" i="3"/>
  <c r="E44" i="2"/>
  <c r="D44" i="2"/>
  <c r="D43" i="3" s="1"/>
  <c r="B44" i="2"/>
  <c r="B43" i="3" s="1"/>
  <c r="V114" i="4" a="1"/>
  <c r="V114" i="4" s="1"/>
  <c r="U114" i="4" a="1"/>
  <c r="U114" i="4" s="1"/>
  <c r="U116" i="4" s="1" a="1"/>
  <c r="U116" i="4" s="1"/>
  <c r="T114" i="4" a="1"/>
  <c r="T114" i="4" s="1"/>
  <c r="R114" i="4" a="1"/>
  <c r="R114" i="4" s="1"/>
  <c r="Q114" i="4" a="1"/>
  <c r="Q114" i="4" s="1"/>
  <c r="P114" i="4" a="1"/>
  <c r="P114" i="4" s="1"/>
  <c r="M114" i="4" a="1"/>
  <c r="M114" i="4" s="1"/>
  <c r="L114" i="4" a="1"/>
  <c r="L114" i="4" s="1"/>
  <c r="K114" i="4" a="1"/>
  <c r="K114" i="4" s="1"/>
  <c r="J114" i="4" a="1"/>
  <c r="J114" i="4" s="1"/>
  <c r="I114" i="4" a="1"/>
  <c r="I114" i="4" s="1"/>
  <c r="E42" i="3"/>
  <c r="E43" i="2"/>
  <c r="D43" i="2"/>
  <c r="D42" i="3" s="1"/>
  <c r="B43" i="2"/>
  <c r="B42" i="3" s="1"/>
  <c r="T111" i="4" a="1"/>
  <c r="T111" i="4" s="1"/>
  <c r="S111" i="4" a="1"/>
  <c r="S111" i="4" s="1"/>
  <c r="R111" i="4" a="1"/>
  <c r="R111" i="4" s="1"/>
  <c r="P111" i="4" a="1"/>
  <c r="P111" i="4" s="1"/>
  <c r="N111" i="4" a="1"/>
  <c r="N111" i="4" s="1"/>
  <c r="M111" i="4" a="1"/>
  <c r="M111" i="4" s="1"/>
  <c r="L111" i="4" a="1"/>
  <c r="L111" i="4" s="1"/>
  <c r="K111" i="4" a="1"/>
  <c r="K111" i="4" s="1"/>
  <c r="J111" i="4" a="1"/>
  <c r="J111" i="4" s="1"/>
  <c r="I111" i="4" a="1"/>
  <c r="I111" i="4" s="1"/>
  <c r="H111" i="4" a="1"/>
  <c r="H111" i="4" s="1"/>
  <c r="CA42" i="2"/>
  <c r="E41" i="3"/>
  <c r="E42" i="2"/>
  <c r="D42" i="2"/>
  <c r="D41" i="3" s="1"/>
  <c r="B42" i="2"/>
  <c r="B41" i="3" s="1"/>
  <c r="V108" i="4" a="1"/>
  <c r="V108" i="4" s="1"/>
  <c r="U108" i="4" a="1"/>
  <c r="U108" i="4" s="1"/>
  <c r="U110" i="4" s="1" a="1"/>
  <c r="U110" i="4" s="1"/>
  <c r="T108" i="4" a="1"/>
  <c r="T108" i="4" s="1"/>
  <c r="S108" i="4" a="1"/>
  <c r="S108" i="4" s="1"/>
  <c r="Q108" i="4" a="1"/>
  <c r="Q108" i="4" s="1"/>
  <c r="P108" i="4" a="1"/>
  <c r="P108" i="4" s="1"/>
  <c r="N108" i="4" a="1"/>
  <c r="N108" i="4" s="1"/>
  <c r="L108" i="4" a="1"/>
  <c r="L108" i="4" s="1"/>
  <c r="J108" i="4" a="1"/>
  <c r="J108" i="4" s="1"/>
  <c r="I108" i="4" a="1"/>
  <c r="I108" i="4" s="1"/>
  <c r="H108" i="4" a="1"/>
  <c r="H108" i="4" s="1"/>
  <c r="E40" i="3"/>
  <c r="E41" i="2"/>
  <c r="D41" i="2"/>
  <c r="D40" i="3" s="1"/>
  <c r="B41" i="2"/>
  <c r="B40" i="3" s="1"/>
  <c r="U105" i="4" a="1"/>
  <c r="U105" i="4" s="1"/>
  <c r="U107" i="4" s="1" a="1"/>
  <c r="U107" i="4" s="1"/>
  <c r="T105" i="4" a="1"/>
  <c r="T105" i="4" s="1"/>
  <c r="Q105" i="4" a="1"/>
  <c r="Q105" i="4" s="1"/>
  <c r="P105" i="4" a="1"/>
  <c r="P105" i="4" s="1"/>
  <c r="N105" i="4" a="1"/>
  <c r="N105" i="4" s="1"/>
  <c r="M105" i="4" a="1"/>
  <c r="M105" i="4" s="1"/>
  <c r="I105" i="4" a="1"/>
  <c r="I105" i="4" s="1"/>
  <c r="H105" i="4" a="1"/>
  <c r="H105" i="4" s="1"/>
  <c r="E39" i="3"/>
  <c r="E40" i="2"/>
  <c r="D40" i="2"/>
  <c r="D39" i="3" s="1"/>
  <c r="B40" i="2"/>
  <c r="B39" i="3" s="1"/>
  <c r="V102" i="4" a="1"/>
  <c r="V102" i="4" s="1"/>
  <c r="R102" i="4" a="1"/>
  <c r="R102" i="4" s="1"/>
  <c r="Q102" i="4" a="1"/>
  <c r="Q102" i="4" s="1"/>
  <c r="P102" i="4" a="1"/>
  <c r="P102" i="4" s="1"/>
  <c r="N102" i="4" a="1"/>
  <c r="N102" i="4" s="1"/>
  <c r="M102" i="4" a="1"/>
  <c r="M102" i="4" s="1"/>
  <c r="L102" i="4" a="1"/>
  <c r="L102" i="4" s="1"/>
  <c r="K102" i="4" a="1"/>
  <c r="K102" i="4" s="1"/>
  <c r="J102" i="4" a="1"/>
  <c r="J102" i="4" s="1"/>
  <c r="G102" i="4" a="1"/>
  <c r="G102" i="4" s="1"/>
  <c r="E38" i="3"/>
  <c r="E39" i="2"/>
  <c r="D39" i="2"/>
  <c r="D38" i="3" s="1"/>
  <c r="B39" i="2"/>
  <c r="B38" i="3" s="1"/>
  <c r="V99" i="4" a="1"/>
  <c r="V99" i="4" s="1"/>
  <c r="U99" i="4" a="1"/>
  <c r="U99" i="4" s="1"/>
  <c r="U101" i="4" s="1" a="1"/>
  <c r="U101" i="4" s="1"/>
  <c r="T99" i="4" a="1"/>
  <c r="T99" i="4" s="1"/>
  <c r="P99" i="4" a="1"/>
  <c r="P99" i="4" s="1"/>
  <c r="M99" i="4" a="1"/>
  <c r="M99" i="4" s="1"/>
  <c r="L99" i="4" a="1"/>
  <c r="L99" i="4" s="1"/>
  <c r="K99" i="4" a="1"/>
  <c r="K99" i="4" s="1"/>
  <c r="J99" i="4" a="1"/>
  <c r="J99" i="4" s="1"/>
  <c r="I99" i="4" a="1"/>
  <c r="I99" i="4" s="1"/>
  <c r="H99" i="4" a="1"/>
  <c r="H99" i="4" s="1"/>
  <c r="E37" i="3"/>
  <c r="E38" i="2"/>
  <c r="D38" i="2"/>
  <c r="D37" i="3" s="1"/>
  <c r="B38" i="2"/>
  <c r="B37" i="3" s="1"/>
  <c r="V96" i="4" a="1"/>
  <c r="V96" i="4" s="1"/>
  <c r="U96" i="4" a="1"/>
  <c r="U96" i="4" s="1"/>
  <c r="U98" i="4" s="1" a="1"/>
  <c r="U98" i="4" s="1"/>
  <c r="T96" i="4" a="1"/>
  <c r="T96" i="4" s="1"/>
  <c r="R96" i="4" a="1"/>
  <c r="R96" i="4" s="1"/>
  <c r="N96" i="4" a="1"/>
  <c r="N96" i="4" s="1"/>
  <c r="L96" i="4" a="1"/>
  <c r="L96" i="4" s="1"/>
  <c r="K96" i="4" a="1"/>
  <c r="K96" i="4" s="1"/>
  <c r="J96" i="4" a="1"/>
  <c r="J96" i="4" s="1"/>
  <c r="I96" i="4" a="1"/>
  <c r="I96" i="4" s="1"/>
  <c r="H96" i="4" a="1"/>
  <c r="H96" i="4" s="1"/>
  <c r="G96" i="4" a="1"/>
  <c r="G96" i="4" s="1"/>
  <c r="E36" i="3"/>
  <c r="E37" i="2"/>
  <c r="D37" i="2"/>
  <c r="D36" i="3" s="1"/>
  <c r="C36" i="3"/>
  <c r="B37" i="2"/>
  <c r="B36" i="3" s="1"/>
  <c r="V93" i="4" a="1"/>
  <c r="V93" i="4" s="1"/>
  <c r="U93" i="4" a="1"/>
  <c r="U93" i="4" s="1"/>
  <c r="U95" i="4" s="1" a="1"/>
  <c r="U95" i="4" s="1"/>
  <c r="T93" i="4" a="1"/>
  <c r="T93" i="4" s="1"/>
  <c r="S93" i="4" a="1"/>
  <c r="S93" i="4" s="1"/>
  <c r="Q93" i="4" a="1"/>
  <c r="Q93" i="4" s="1"/>
  <c r="P93" i="4" a="1"/>
  <c r="P93" i="4" s="1"/>
  <c r="M93" i="4" a="1"/>
  <c r="M93" i="4" s="1"/>
  <c r="L93" i="4" a="1"/>
  <c r="L93" i="4" s="1"/>
  <c r="K93" i="4" a="1"/>
  <c r="K93" i="4" s="1"/>
  <c r="J93" i="4" a="1"/>
  <c r="J93" i="4" s="1"/>
  <c r="I93" i="4" a="1"/>
  <c r="I93" i="4" s="1"/>
  <c r="H93" i="4" a="1"/>
  <c r="H93" i="4" s="1"/>
  <c r="E35" i="3"/>
  <c r="E36" i="2"/>
  <c r="D36" i="2"/>
  <c r="D35" i="3" s="1"/>
  <c r="C35" i="3"/>
  <c r="B36" i="2"/>
  <c r="B35" i="3" s="1"/>
  <c r="U90" i="4" a="1"/>
  <c r="U90" i="4" s="1"/>
  <c r="U92" i="4" s="1" a="1"/>
  <c r="U92" i="4" s="1"/>
  <c r="T90" i="4" a="1"/>
  <c r="T90" i="4" s="1"/>
  <c r="S90" i="4" a="1"/>
  <c r="S90" i="4" s="1"/>
  <c r="R90" i="4" a="1"/>
  <c r="R90" i="4" s="1"/>
  <c r="Q90" i="4" a="1"/>
  <c r="Q90" i="4" s="1"/>
  <c r="P90" i="4" a="1"/>
  <c r="P90" i="4" s="1"/>
  <c r="N90" i="4" a="1"/>
  <c r="N90" i="4" s="1"/>
  <c r="L90" i="4" a="1"/>
  <c r="L90" i="4" s="1"/>
  <c r="J90" i="4" a="1"/>
  <c r="J90" i="4" s="1"/>
  <c r="H90" i="4" a="1"/>
  <c r="H90" i="4" s="1"/>
  <c r="G90" i="4" a="1"/>
  <c r="G90" i="4" s="1"/>
  <c r="E34" i="3"/>
  <c r="E35" i="2"/>
  <c r="D35" i="2"/>
  <c r="D34" i="3" s="1"/>
  <c r="C34" i="3"/>
  <c r="B35" i="2"/>
  <c r="B34" i="3" s="1"/>
  <c r="U87" i="4" a="1"/>
  <c r="U87" i="4" s="1"/>
  <c r="U89" i="4" s="1" a="1"/>
  <c r="U89" i="4" s="1"/>
  <c r="T87" i="4" a="1"/>
  <c r="T87" i="4" s="1"/>
  <c r="Q87" i="4" a="1"/>
  <c r="Q87" i="4" s="1"/>
  <c r="P87" i="4" a="1"/>
  <c r="P87" i="4" s="1"/>
  <c r="M87" i="4" a="1"/>
  <c r="M87" i="4" s="1"/>
  <c r="L87" i="4" a="1"/>
  <c r="L87" i="4" s="1"/>
  <c r="J87" i="4" a="1"/>
  <c r="J87" i="4" s="1"/>
  <c r="E33" i="3"/>
  <c r="E34" i="2"/>
  <c r="D34" i="2"/>
  <c r="D33" i="3" s="1"/>
  <c r="C33" i="3"/>
  <c r="B34" i="2"/>
  <c r="B33" i="3" s="1"/>
  <c r="V84" i="4" a="1"/>
  <c r="V84" i="4" s="1"/>
  <c r="U84" i="4" a="1"/>
  <c r="U84" i="4" s="1"/>
  <c r="U86" i="4" s="1" a="1"/>
  <c r="U86" i="4" s="1"/>
  <c r="T84" i="4" a="1"/>
  <c r="T84" i="4" s="1"/>
  <c r="R84" i="4" a="1"/>
  <c r="R84" i="4" s="1"/>
  <c r="Q84" i="4" a="1"/>
  <c r="Q84" i="4" s="1"/>
  <c r="P84" i="4" a="1"/>
  <c r="P84" i="4" s="1"/>
  <c r="N84" i="4" a="1"/>
  <c r="N84" i="4" s="1"/>
  <c r="M84" i="4" a="1"/>
  <c r="M84" i="4" s="1"/>
  <c r="L84" i="4" a="1"/>
  <c r="L84" i="4" s="1"/>
  <c r="K84" i="4" a="1"/>
  <c r="K84" i="4" s="1"/>
  <c r="J84" i="4" a="1"/>
  <c r="J84" i="4" s="1"/>
  <c r="I84" i="4" a="1"/>
  <c r="I84" i="4" s="1"/>
  <c r="G84" i="4" a="1"/>
  <c r="G84" i="4" s="1"/>
  <c r="E32" i="3"/>
  <c r="E33" i="2"/>
  <c r="D33" i="2"/>
  <c r="D32" i="3" s="1"/>
  <c r="B33" i="2"/>
  <c r="B32" i="3" s="1"/>
  <c r="V81" i="4" a="1"/>
  <c r="V81" i="4" s="1"/>
  <c r="U81" i="4" a="1"/>
  <c r="U81" i="4" s="1"/>
  <c r="U83" i="4" s="1" a="1"/>
  <c r="U83" i="4" s="1"/>
  <c r="T81" i="4" a="1"/>
  <c r="T81" i="4" s="1"/>
  <c r="R81" i="4" a="1"/>
  <c r="R81" i="4" s="1"/>
  <c r="P81" i="4" a="1"/>
  <c r="P81" i="4" s="1"/>
  <c r="M81" i="4" a="1"/>
  <c r="M81" i="4" s="1"/>
  <c r="L81" i="4" a="1"/>
  <c r="L81" i="4" s="1"/>
  <c r="K81" i="4" a="1"/>
  <c r="K81" i="4" s="1"/>
  <c r="J81" i="4" a="1"/>
  <c r="J81" i="4" s="1"/>
  <c r="I81" i="4" a="1"/>
  <c r="I81" i="4" s="1"/>
  <c r="H81" i="4" a="1"/>
  <c r="H81" i="4" s="1"/>
  <c r="G81" i="4" a="1"/>
  <c r="G81" i="4" s="1"/>
  <c r="E31" i="3"/>
  <c r="E32" i="2"/>
  <c r="D32" i="2"/>
  <c r="D31" i="3" s="1"/>
  <c r="B32" i="2"/>
  <c r="B31" i="3" s="1"/>
  <c r="V78" i="4" a="1"/>
  <c r="V78" i="4" s="1"/>
  <c r="U78" i="4" a="1"/>
  <c r="U78" i="4" s="1"/>
  <c r="U80" i="4" s="1" a="1"/>
  <c r="U80" i="4" s="1"/>
  <c r="T78" i="4" a="1"/>
  <c r="T78" i="4" s="1"/>
  <c r="S78" i="4" a="1"/>
  <c r="S78" i="4" s="1"/>
  <c r="R78" i="4" a="1"/>
  <c r="R78" i="4" s="1"/>
  <c r="Q78" i="4" a="1"/>
  <c r="Q78" i="4" s="1"/>
  <c r="N78" i="4" a="1"/>
  <c r="N78" i="4" s="1"/>
  <c r="L78" i="4" a="1"/>
  <c r="L78" i="4" s="1"/>
  <c r="J78" i="4" a="1"/>
  <c r="J78" i="4" s="1"/>
  <c r="I78" i="4" a="1"/>
  <c r="I78" i="4" s="1"/>
  <c r="H78" i="4" a="1"/>
  <c r="H78" i="4" s="1"/>
  <c r="E30" i="3"/>
  <c r="E31" i="2"/>
  <c r="D31" i="2"/>
  <c r="D30" i="3" s="1"/>
  <c r="B31" i="2"/>
  <c r="B30" i="3" s="1"/>
  <c r="V75" i="4" a="1"/>
  <c r="V75" i="4" s="1"/>
  <c r="U75" i="4" a="1"/>
  <c r="U75" i="4" s="1"/>
  <c r="U77" i="4" s="1" a="1"/>
  <c r="U77" i="4" s="1"/>
  <c r="T75" i="4" a="1"/>
  <c r="T75" i="4" s="1"/>
  <c r="S75" i="4" a="1"/>
  <c r="S75" i="4" s="1"/>
  <c r="R75" i="4" a="1"/>
  <c r="R75" i="4" s="1"/>
  <c r="Q75" i="4" a="1"/>
  <c r="Q75" i="4" s="1"/>
  <c r="P75" i="4" a="1"/>
  <c r="P75" i="4" s="1"/>
  <c r="N75" i="4" a="1"/>
  <c r="N75" i="4" s="1"/>
  <c r="M75" i="4" a="1"/>
  <c r="M75" i="4" s="1"/>
  <c r="K75" i="4" a="1"/>
  <c r="K75" i="4" s="1"/>
  <c r="J75" i="4" a="1"/>
  <c r="J75" i="4" s="1"/>
  <c r="I75" i="4" a="1"/>
  <c r="I75" i="4" s="1"/>
  <c r="H75" i="4" a="1"/>
  <c r="H75" i="4" s="1"/>
  <c r="E29" i="3"/>
  <c r="E30" i="2"/>
  <c r="D30" i="2"/>
  <c r="D29" i="3" s="1"/>
  <c r="B30" i="2"/>
  <c r="B29" i="3" s="1"/>
  <c r="V72" i="4" a="1"/>
  <c r="V72" i="4" s="1"/>
  <c r="U72" i="4" a="1"/>
  <c r="U72" i="4" s="1"/>
  <c r="U74" i="4" s="1" a="1"/>
  <c r="U74" i="4" s="1"/>
  <c r="T72" i="4" a="1"/>
  <c r="T72" i="4" s="1"/>
  <c r="S72" i="4" a="1"/>
  <c r="S72" i="4" s="1"/>
  <c r="R72" i="4" a="1"/>
  <c r="R72" i="4" s="1"/>
  <c r="Q72" i="4" a="1"/>
  <c r="Q72" i="4" s="1"/>
  <c r="P72" i="4" a="1"/>
  <c r="P72" i="4" s="1"/>
  <c r="N72" i="4" a="1"/>
  <c r="N72" i="4" s="1"/>
  <c r="L72" i="4" a="1"/>
  <c r="L72" i="4" s="1"/>
  <c r="J72" i="4" a="1"/>
  <c r="J72" i="4" s="1"/>
  <c r="I72" i="4" a="1"/>
  <c r="I72" i="4" s="1"/>
  <c r="H72" i="4" a="1"/>
  <c r="H72" i="4" s="1"/>
  <c r="E28" i="3"/>
  <c r="E29" i="2"/>
  <c r="D29" i="2"/>
  <c r="D28" i="3" s="1"/>
  <c r="B29" i="2"/>
  <c r="B28" i="3" s="1"/>
  <c r="V69" i="4" a="1"/>
  <c r="V69" i="4" s="1"/>
  <c r="T69" i="4" a="1"/>
  <c r="T69" i="4" s="1"/>
  <c r="S69" i="4" a="1"/>
  <c r="S69" i="4" s="1"/>
  <c r="R69" i="4" a="1"/>
  <c r="R69" i="4" s="1"/>
  <c r="N69" i="4" a="1"/>
  <c r="N69" i="4" s="1"/>
  <c r="M69" i="4" a="1"/>
  <c r="M69" i="4" s="1"/>
  <c r="L69" i="4" a="1"/>
  <c r="L69" i="4" s="1"/>
  <c r="J69" i="4" a="1"/>
  <c r="J69" i="4" s="1"/>
  <c r="E27" i="3"/>
  <c r="E28" i="2"/>
  <c r="D28" i="2"/>
  <c r="D27" i="3" s="1"/>
  <c r="B28" i="2"/>
  <c r="B27" i="3" s="1"/>
  <c r="V66" i="4" a="1"/>
  <c r="V66" i="4" s="1"/>
  <c r="T66" i="4" a="1"/>
  <c r="T66" i="4" s="1"/>
  <c r="R66" i="4" a="1"/>
  <c r="R66" i="4" s="1"/>
  <c r="Q66" i="4" a="1"/>
  <c r="Q66" i="4" s="1"/>
  <c r="P66" i="4" a="1"/>
  <c r="P66" i="4" s="1"/>
  <c r="N66" i="4" a="1"/>
  <c r="N66" i="4" s="1"/>
  <c r="M66" i="4" a="1"/>
  <c r="M66" i="4" s="1"/>
  <c r="L66" i="4" a="1"/>
  <c r="L66" i="4" s="1"/>
  <c r="K66" i="4" a="1"/>
  <c r="K66" i="4" s="1"/>
  <c r="J66" i="4" a="1"/>
  <c r="J66" i="4" s="1"/>
  <c r="H66" i="4" a="1"/>
  <c r="H66" i="4" s="1"/>
  <c r="E26" i="3"/>
  <c r="E27" i="2"/>
  <c r="D27" i="2"/>
  <c r="D26" i="3" s="1"/>
  <c r="B27" i="2"/>
  <c r="B26" i="3" s="1"/>
  <c r="V63" i="4" a="1"/>
  <c r="V63" i="4" s="1"/>
  <c r="U63" i="4" a="1"/>
  <c r="U63" i="4" s="1"/>
  <c r="U65" i="4" s="1" a="1"/>
  <c r="U65" i="4" s="1"/>
  <c r="T63" i="4" a="1"/>
  <c r="T63" i="4" s="1"/>
  <c r="R63" i="4" a="1"/>
  <c r="R63" i="4" s="1"/>
  <c r="P63" i="4" a="1"/>
  <c r="P63" i="4" s="1"/>
  <c r="N63" i="4" a="1"/>
  <c r="N63" i="4" s="1"/>
  <c r="M63" i="4" a="1"/>
  <c r="M63" i="4" s="1"/>
  <c r="K63" i="4" a="1"/>
  <c r="K63" i="4" s="1"/>
  <c r="J63" i="4" a="1"/>
  <c r="J63" i="4" s="1"/>
  <c r="I63" i="4" a="1"/>
  <c r="I63" i="4" s="1"/>
  <c r="E25" i="3"/>
  <c r="E26" i="2"/>
  <c r="D26" i="2"/>
  <c r="D25" i="3" s="1"/>
  <c r="B26" i="2"/>
  <c r="B25" i="3" s="1"/>
  <c r="U60" i="4" a="1"/>
  <c r="U60" i="4" s="1"/>
  <c r="U62" i="4" s="1" a="1"/>
  <c r="U62" i="4" s="1"/>
  <c r="T60" i="4" a="1"/>
  <c r="T60" i="4" s="1"/>
  <c r="S60" i="4" a="1"/>
  <c r="S60" i="4" s="1"/>
  <c r="R60" i="4" a="1"/>
  <c r="R60" i="4" s="1"/>
  <c r="P60" i="4" a="1"/>
  <c r="P60" i="4" s="1"/>
  <c r="N60" i="4" a="1"/>
  <c r="N60" i="4" s="1"/>
  <c r="M60" i="4" a="1"/>
  <c r="M60" i="4" s="1"/>
  <c r="L60" i="4" a="1"/>
  <c r="L60" i="4" s="1"/>
  <c r="K60" i="4" a="1"/>
  <c r="K60" i="4" s="1"/>
  <c r="I60" i="4" a="1"/>
  <c r="I60" i="4" s="1"/>
  <c r="H60" i="4" a="1"/>
  <c r="H60" i="4" s="1"/>
  <c r="E24" i="3"/>
  <c r="E25" i="2"/>
  <c r="D25" i="2"/>
  <c r="D24" i="3" s="1"/>
  <c r="B25" i="2"/>
  <c r="B24" i="3" s="1"/>
  <c r="T57" i="4" a="1"/>
  <c r="T57" i="4" s="1"/>
  <c r="S57" i="4" a="1"/>
  <c r="S57" i="4" s="1"/>
  <c r="R57" i="4" a="1"/>
  <c r="R57" i="4" s="1"/>
  <c r="Q57" i="4" a="1"/>
  <c r="Q57" i="4" s="1"/>
  <c r="P57" i="4" a="1"/>
  <c r="P57" i="4" s="1"/>
  <c r="N57" i="4" a="1"/>
  <c r="N57" i="4" s="1"/>
  <c r="M57" i="4" a="1"/>
  <c r="M57" i="4" s="1"/>
  <c r="K57" i="4" a="1"/>
  <c r="K57" i="4" s="1"/>
  <c r="J57" i="4" a="1"/>
  <c r="J57" i="4" s="1"/>
  <c r="G57" i="4" a="1"/>
  <c r="G57" i="4" s="1"/>
  <c r="E23" i="3"/>
  <c r="E24" i="2"/>
  <c r="D24" i="2"/>
  <c r="D23" i="3" s="1"/>
  <c r="B24" i="2"/>
  <c r="B23" i="3" s="1"/>
  <c r="U54" i="4" a="1"/>
  <c r="U54" i="4" s="1"/>
  <c r="U56" i="4" s="1" a="1"/>
  <c r="U56" i="4" s="1"/>
  <c r="R54" i="4" a="1"/>
  <c r="R54" i="4" s="1"/>
  <c r="Q54" i="4" a="1"/>
  <c r="Q54" i="4" s="1"/>
  <c r="P54" i="4" a="1"/>
  <c r="P54" i="4" s="1"/>
  <c r="N54" i="4" a="1"/>
  <c r="N54" i="4" s="1"/>
  <c r="L54" i="4" a="1"/>
  <c r="L54" i="4" s="1"/>
  <c r="J54" i="4" a="1"/>
  <c r="J54" i="4" s="1"/>
  <c r="H54" i="4" a="1"/>
  <c r="H54" i="4" s="1"/>
  <c r="E22" i="3"/>
  <c r="E23" i="2"/>
  <c r="D23" i="2"/>
  <c r="D22" i="3" s="1"/>
  <c r="B23" i="2"/>
  <c r="B22" i="3" s="1"/>
  <c r="V51" i="4" a="1"/>
  <c r="V51" i="4" s="1"/>
  <c r="BV49" i="2"/>
  <c r="U132" i="4" s="1" a="1"/>
  <c r="U132" i="4" s="1"/>
  <c r="U134" i="4" s="1" a="1"/>
  <c r="U134" i="4" s="1"/>
  <c r="R51" i="4" a="1"/>
  <c r="R51" i="4" s="1"/>
  <c r="Q51" i="4" a="1"/>
  <c r="Q51" i="4" s="1"/>
  <c r="P51" i="4" a="1"/>
  <c r="P51" i="4" s="1"/>
  <c r="N51" i="4" a="1"/>
  <c r="N51" i="4" s="1"/>
  <c r="J51" i="4" a="1"/>
  <c r="J51" i="4" s="1"/>
  <c r="I51" i="4" a="1"/>
  <c r="I51" i="4" s="1"/>
  <c r="E21" i="3"/>
  <c r="E22" i="2"/>
  <c r="D22" i="2"/>
  <c r="D21" i="3" s="1"/>
  <c r="C21" i="3"/>
  <c r="B22" i="2"/>
  <c r="B21" i="3" s="1"/>
  <c r="U48" i="4" a="1"/>
  <c r="U48" i="4" s="1"/>
  <c r="U50" i="4" s="1" a="1"/>
  <c r="U50" i="4" s="1"/>
  <c r="T48" i="4" a="1"/>
  <c r="T48" i="4" s="1"/>
  <c r="S48" i="4" a="1"/>
  <c r="S48" i="4" s="1"/>
  <c r="N48" i="4" a="1"/>
  <c r="N48" i="4" s="1"/>
  <c r="M48" i="4" a="1"/>
  <c r="M48" i="4" s="1"/>
  <c r="L48" i="4" a="1"/>
  <c r="L48" i="4" s="1"/>
  <c r="I48" i="4" a="1"/>
  <c r="I48" i="4" s="1"/>
  <c r="H48" i="4" a="1"/>
  <c r="H48" i="4" s="1"/>
  <c r="E20" i="3"/>
  <c r="E21" i="2"/>
  <c r="D21" i="2"/>
  <c r="D20" i="3" s="1"/>
  <c r="B21" i="2"/>
  <c r="B20" i="3" s="1"/>
  <c r="U45" i="4" a="1"/>
  <c r="U45" i="4" s="1"/>
  <c r="U47" i="4" s="1" a="1"/>
  <c r="U47" i="4" s="1"/>
  <c r="T45" i="4" a="1"/>
  <c r="T45" i="4" s="1"/>
  <c r="R45" i="4" a="1"/>
  <c r="R45" i="4" s="1"/>
  <c r="Q45" i="4" a="1"/>
  <c r="Q45" i="4" s="1"/>
  <c r="M45" i="4" a="1"/>
  <c r="M45" i="4" s="1"/>
  <c r="L45" i="4" a="1"/>
  <c r="L45" i="4" s="1"/>
  <c r="K45" i="4" a="1"/>
  <c r="K45" i="4" s="1"/>
  <c r="I45" i="4" a="1"/>
  <c r="I45" i="4" s="1"/>
  <c r="H45" i="4" a="1"/>
  <c r="H45" i="4" s="1"/>
  <c r="G45" i="4" a="1"/>
  <c r="G45" i="4" s="1"/>
  <c r="E19" i="3"/>
  <c r="E20" i="2"/>
  <c r="D20" i="2"/>
  <c r="D19" i="3" s="1"/>
  <c r="B20" i="2"/>
  <c r="B19" i="3" s="1"/>
  <c r="V42" i="4" a="1"/>
  <c r="V42" i="4" s="1"/>
  <c r="U42" i="4" a="1"/>
  <c r="U42" i="4" s="1"/>
  <c r="U44" i="4" s="1" a="1"/>
  <c r="U44" i="4" s="1"/>
  <c r="S42" i="4" a="1"/>
  <c r="S42" i="4" s="1"/>
  <c r="R42" i="4" a="1"/>
  <c r="R42" i="4" s="1"/>
  <c r="Q42" i="4" a="1"/>
  <c r="Q42" i="4" s="1"/>
  <c r="P42" i="4" a="1"/>
  <c r="P42" i="4" s="1"/>
  <c r="L42" i="4" a="1"/>
  <c r="L42" i="4" s="1"/>
  <c r="K42" i="4" a="1"/>
  <c r="K42" i="4" s="1"/>
  <c r="J42" i="4" a="1"/>
  <c r="J42" i="4" s="1"/>
  <c r="I42" i="4" a="1"/>
  <c r="I42" i="4" s="1"/>
  <c r="H42" i="4" a="1"/>
  <c r="H42" i="4" s="1"/>
  <c r="G42" i="4" a="1"/>
  <c r="G42" i="4" s="1"/>
  <c r="E18" i="3"/>
  <c r="E19" i="2"/>
  <c r="D19" i="2"/>
  <c r="D18" i="3" s="1"/>
  <c r="B19" i="2"/>
  <c r="B18" i="3" s="1"/>
  <c r="V39" i="4" a="1"/>
  <c r="V39" i="4" s="1"/>
  <c r="T39" i="4" a="1"/>
  <c r="T39" i="4" s="1"/>
  <c r="Q39" i="4" a="1"/>
  <c r="Q39" i="4" s="1"/>
  <c r="P39" i="4" a="1"/>
  <c r="P39" i="4" s="1"/>
  <c r="N39" i="4" a="1"/>
  <c r="N39" i="4" s="1"/>
  <c r="M39" i="4" a="1"/>
  <c r="M39" i="4" s="1"/>
  <c r="J39" i="4" a="1"/>
  <c r="J39" i="4" s="1"/>
  <c r="H39" i="4" a="1"/>
  <c r="H39" i="4" s="1"/>
  <c r="E17" i="3"/>
  <c r="E18" i="2"/>
  <c r="D18" i="2"/>
  <c r="D17" i="3" s="1"/>
  <c r="B18" i="2"/>
  <c r="B17" i="3" s="1"/>
  <c r="CA17" i="2"/>
  <c r="V36" i="4" a="1"/>
  <c r="V36" i="4" s="1"/>
  <c r="U36" i="4" a="1"/>
  <c r="U36" i="4" s="1"/>
  <c r="U38" i="4" s="1" a="1"/>
  <c r="U38" i="4" s="1"/>
  <c r="T36" i="4" a="1"/>
  <c r="T36" i="4" s="1"/>
  <c r="S36" i="4" a="1"/>
  <c r="S36" i="4" s="1"/>
  <c r="R36" i="4" a="1"/>
  <c r="R36" i="4" s="1"/>
  <c r="N36" i="4" a="1"/>
  <c r="N36" i="4" s="1"/>
  <c r="L36" i="4" a="1"/>
  <c r="L36" i="4" s="1"/>
  <c r="K36" i="4" a="1"/>
  <c r="K36" i="4" s="1"/>
  <c r="I36" i="4" a="1"/>
  <c r="I36" i="4" s="1"/>
  <c r="G36" i="4" a="1"/>
  <c r="G36" i="4" s="1"/>
  <c r="E16" i="3"/>
  <c r="E17" i="2"/>
  <c r="D17" i="2"/>
  <c r="D16" i="3" s="1"/>
  <c r="B17" i="2"/>
  <c r="B16" i="3" s="1"/>
  <c r="V33" i="4" a="1"/>
  <c r="V33" i="4" s="1"/>
  <c r="U33" i="4" a="1"/>
  <c r="U33" i="4" s="1"/>
  <c r="U35" i="4" s="1" a="1"/>
  <c r="U35" i="4" s="1"/>
  <c r="T33" i="4" a="1"/>
  <c r="T33" i="4" s="1"/>
  <c r="Q33" i="4" a="1"/>
  <c r="Q33" i="4" s="1"/>
  <c r="P33" i="4" a="1"/>
  <c r="P33" i="4" s="1"/>
  <c r="M33" i="4" a="1"/>
  <c r="M33" i="4" s="1"/>
  <c r="L33" i="4" a="1"/>
  <c r="L33" i="4" s="1"/>
  <c r="J33" i="4" a="1"/>
  <c r="J33" i="4" s="1"/>
  <c r="R49" i="2"/>
  <c r="E15" i="3"/>
  <c r="E16" i="2"/>
  <c r="D16" i="2"/>
  <c r="D15" i="3" s="1"/>
  <c r="B16" i="2"/>
  <c r="B15" i="3" s="1"/>
  <c r="S30" i="4" a="1"/>
  <c r="S30" i="4" s="1"/>
  <c r="R30" i="4" a="1"/>
  <c r="R30" i="4" s="1"/>
  <c r="Q30" i="4" a="1"/>
  <c r="Q30" i="4" s="1"/>
  <c r="P30" i="4" a="1"/>
  <c r="P30" i="4" s="1"/>
  <c r="N30" i="4" a="1"/>
  <c r="N30" i="4" s="1"/>
  <c r="L30" i="4" a="1"/>
  <c r="L30" i="4" s="1"/>
  <c r="J30" i="4" a="1"/>
  <c r="J30" i="4" s="1"/>
  <c r="H30" i="4" a="1"/>
  <c r="H30" i="4" s="1"/>
  <c r="E14" i="3"/>
  <c r="E15" i="2"/>
  <c r="D15" i="2"/>
  <c r="D14" i="3" s="1"/>
  <c r="B15" i="2"/>
  <c r="B14" i="3" s="1"/>
  <c r="V27" i="4" a="1"/>
  <c r="V27" i="4" s="1"/>
  <c r="U27" i="4" a="1"/>
  <c r="U27" i="4" s="1"/>
  <c r="U29" i="4" s="1" a="1"/>
  <c r="U29" i="4" s="1"/>
  <c r="R27" i="4" a="1"/>
  <c r="R27" i="4" s="1"/>
  <c r="Q27" i="4" a="1"/>
  <c r="Q27" i="4" s="1"/>
  <c r="P27" i="4" a="1"/>
  <c r="P27" i="4" s="1"/>
  <c r="L27" i="4" a="1"/>
  <c r="L27" i="4" s="1"/>
  <c r="CA14" i="2"/>
  <c r="J27" i="4" a="1"/>
  <c r="J27" i="4" s="1"/>
  <c r="I27" i="4" a="1"/>
  <c r="I27" i="4" s="1"/>
  <c r="H27" i="4" a="1"/>
  <c r="H27" i="4" s="1"/>
  <c r="E13" i="3"/>
  <c r="E14" i="2"/>
  <c r="D14" i="2"/>
  <c r="D13" i="3" s="1"/>
  <c r="B14" i="2"/>
  <c r="B13" i="3" s="1"/>
  <c r="V24" i="4" a="1"/>
  <c r="V24" i="4" s="1"/>
  <c r="U24" i="4" a="1"/>
  <c r="U24" i="4" s="1"/>
  <c r="U26" i="4" s="1" a="1"/>
  <c r="U26" i="4" s="1"/>
  <c r="T24" i="4" a="1"/>
  <c r="T24" i="4" s="1"/>
  <c r="S24" i="4" a="1"/>
  <c r="S24" i="4" s="1"/>
  <c r="R24" i="4" a="1"/>
  <c r="R24" i="4" s="1"/>
  <c r="N24" i="4" a="1"/>
  <c r="N24" i="4" s="1"/>
  <c r="K24" i="4" a="1"/>
  <c r="K24" i="4" s="1"/>
  <c r="I24" i="4" a="1"/>
  <c r="I24" i="4" s="1"/>
  <c r="G24" i="4" a="1"/>
  <c r="G24" i="4" s="1"/>
  <c r="E12" i="3"/>
  <c r="E13" i="2"/>
  <c r="D13" i="2"/>
  <c r="D12" i="3" s="1"/>
  <c r="B13" i="2"/>
  <c r="B12" i="3" s="1"/>
  <c r="U21" i="4" a="1"/>
  <c r="U21" i="4" s="1"/>
  <c r="U23" i="4" s="1" a="1"/>
  <c r="U23" i="4" s="1"/>
  <c r="T21" i="4" a="1"/>
  <c r="T21" i="4" s="1"/>
  <c r="N21" i="4" a="1"/>
  <c r="N21" i="4" s="1"/>
  <c r="M21" i="4" a="1"/>
  <c r="M21" i="4" s="1"/>
  <c r="L21" i="4" a="1"/>
  <c r="L21" i="4" s="1"/>
  <c r="I21" i="4" a="1"/>
  <c r="I21" i="4" s="1"/>
  <c r="E11" i="3"/>
  <c r="E12" i="2"/>
  <c r="D12" i="2"/>
  <c r="D11" i="3" s="1"/>
  <c r="B12" i="2"/>
  <c r="B11" i="3" s="1"/>
  <c r="R18" i="4" a="1"/>
  <c r="R18" i="4" s="1"/>
  <c r="Q18" i="4" a="1"/>
  <c r="Q18" i="4" s="1"/>
  <c r="P18" i="4" a="1"/>
  <c r="P18" i="4" s="1"/>
  <c r="L18" i="4" a="1"/>
  <c r="L18" i="4" s="1"/>
  <c r="K18" i="4" a="1"/>
  <c r="K18" i="4" s="1"/>
  <c r="J18" i="4" a="1"/>
  <c r="J18" i="4" s="1"/>
  <c r="E10" i="3"/>
  <c r="E11" i="2"/>
  <c r="D11" i="2"/>
  <c r="D10" i="3" s="1"/>
  <c r="B11" i="2"/>
  <c r="B10" i="3" s="1"/>
  <c r="BP50" i="2"/>
  <c r="S135" i="4" s="1" a="1"/>
  <c r="S135" i="4" s="1"/>
  <c r="R15" i="4" a="1"/>
  <c r="R15" i="4" s="1"/>
  <c r="Q15" i="4" a="1"/>
  <c r="Q15" i="4" s="1"/>
  <c r="P15" i="4" a="1"/>
  <c r="P15" i="4" s="1"/>
  <c r="L15" i="4" a="1"/>
  <c r="L15" i="4" s="1"/>
  <c r="H15" i="4" a="1"/>
  <c r="H15" i="4" s="1"/>
  <c r="E9" i="3"/>
  <c r="E10" i="2"/>
  <c r="D10" i="2"/>
  <c r="D9" i="3" s="1"/>
  <c r="B10" i="2"/>
  <c r="B9" i="3" s="1"/>
  <c r="S12" i="4" a="1"/>
  <c r="S12" i="4" s="1"/>
  <c r="L12" i="4" a="1"/>
  <c r="L12" i="4" s="1"/>
  <c r="E8" i="3"/>
  <c r="E9" i="2"/>
  <c r="D9" i="2"/>
  <c r="D8" i="3" s="1"/>
  <c r="B9" i="2"/>
  <c r="A2" i="2"/>
  <c r="H78" i="1"/>
  <c r="E174" i="4" s="1" a="1"/>
  <c r="E174" i="4" s="1"/>
  <c r="C78" i="1"/>
  <c r="H77" i="1"/>
  <c r="C77" i="1"/>
  <c r="C171" i="4" s="1" a="1"/>
  <c r="C171" i="4" s="1"/>
  <c r="B8" i="3" l="1"/>
  <c r="H19" i="5"/>
  <c r="H12" i="5"/>
  <c r="E23" i="5"/>
  <c r="I29" i="5"/>
  <c r="G27" i="5"/>
  <c r="G16" i="5"/>
  <c r="E22" i="5"/>
  <c r="H29" i="5"/>
  <c r="J26" i="5"/>
  <c r="G25" i="5"/>
  <c r="G15" i="5"/>
  <c r="G29" i="5"/>
  <c r="G24" i="5"/>
  <c r="G14" i="5"/>
  <c r="F29" i="5"/>
  <c r="G20" i="5"/>
  <c r="G13" i="5"/>
  <c r="E29" i="5"/>
  <c r="G19" i="5"/>
  <c r="G12" i="5"/>
  <c r="C5" i="5"/>
  <c r="F23" i="5"/>
  <c r="F17" i="5"/>
  <c r="C4" i="5"/>
  <c r="I19" i="5"/>
  <c r="I12" i="5"/>
  <c r="E15" i="5"/>
  <c r="H27" i="5"/>
  <c r="H16" i="5"/>
  <c r="E14" i="5"/>
  <c r="H25" i="5"/>
  <c r="H15" i="5"/>
  <c r="E13" i="5"/>
  <c r="H24" i="5"/>
  <c r="H14" i="5"/>
  <c r="E12" i="5"/>
  <c r="H20" i="5"/>
  <c r="H13" i="5"/>
  <c r="E21" i="5"/>
  <c r="I27" i="5"/>
  <c r="E20" i="5"/>
  <c r="I25" i="5"/>
  <c r="E19" i="5"/>
  <c r="I24" i="5"/>
  <c r="I14" i="5"/>
  <c r="E17" i="5"/>
  <c r="I20" i="5"/>
  <c r="I13" i="5"/>
  <c r="E16" i="5"/>
  <c r="F22" i="5"/>
  <c r="F16" i="5"/>
  <c r="F21" i="5"/>
  <c r="F15" i="5"/>
  <c r="F20" i="5"/>
  <c r="F14" i="5"/>
  <c r="F19" i="5"/>
  <c r="F13" i="5"/>
  <c r="F12" i="5"/>
  <c r="W50" i="3"/>
  <c r="V50" i="3"/>
  <c r="O62" i="4"/>
  <c r="V53" i="4"/>
  <c r="H95" i="4"/>
  <c r="K98" i="4"/>
  <c r="I107" i="4"/>
  <c r="R125" i="4"/>
  <c r="L131" i="4"/>
  <c r="J161" i="4"/>
  <c r="AD5" i="4"/>
  <c r="M35" i="4" s="1"/>
  <c r="J155" i="4"/>
  <c r="R17" i="4"/>
  <c r="Q59" i="4"/>
  <c r="T62" i="4"/>
  <c r="S125" i="4"/>
  <c r="M152" i="4"/>
  <c r="Q155" i="4"/>
  <c r="L173" i="4"/>
  <c r="I191" i="4"/>
  <c r="M197" i="4"/>
  <c r="N14" i="4"/>
  <c r="M110" i="4"/>
  <c r="G191" i="4"/>
  <c r="T83" i="4"/>
  <c r="Q92" i="4"/>
  <c r="T95" i="4"/>
  <c r="I128" i="4"/>
  <c r="V161" i="4"/>
  <c r="H62" i="4"/>
  <c r="Q80" i="4"/>
  <c r="R92" i="4"/>
  <c r="L98" i="4"/>
  <c r="V128" i="4"/>
  <c r="N143" i="4"/>
  <c r="O107" i="4"/>
  <c r="I29" i="4"/>
  <c r="L32" i="4"/>
  <c r="I50" i="4"/>
  <c r="R80" i="4"/>
  <c r="J83" i="4"/>
  <c r="P89" i="4"/>
  <c r="S92" i="4"/>
  <c r="V95" i="4"/>
  <c r="J116" i="4"/>
  <c r="L161" i="4"/>
  <c r="M173" i="4"/>
  <c r="S56" i="4"/>
  <c r="S104" i="4"/>
  <c r="T107" i="4"/>
  <c r="L128" i="4"/>
  <c r="N53" i="4"/>
  <c r="S107" i="4"/>
  <c r="M188" i="4"/>
  <c r="R50" i="4"/>
  <c r="O155" i="4"/>
  <c r="T29" i="4"/>
  <c r="M32" i="4"/>
  <c r="I41" i="4"/>
  <c r="N47" i="4"/>
  <c r="K143" i="4"/>
  <c r="S155" i="4"/>
  <c r="I65" i="4"/>
  <c r="L77" i="4"/>
  <c r="O128" i="4"/>
  <c r="G83" i="4"/>
  <c r="S185" i="4"/>
  <c r="G59" i="4"/>
  <c r="N98" i="4"/>
  <c r="S146" i="4"/>
  <c r="J170" i="4"/>
  <c r="V23" i="4"/>
  <c r="L41" i="4"/>
  <c r="T155" i="4"/>
  <c r="R176" i="4"/>
  <c r="I89" i="4"/>
  <c r="Q44" i="4"/>
  <c r="M95" i="4"/>
  <c r="T101" i="4"/>
  <c r="Q110" i="4"/>
  <c r="K179" i="4"/>
  <c r="M113" i="4"/>
  <c r="S77" i="4"/>
  <c r="Q161" i="4"/>
  <c r="T164" i="4"/>
  <c r="N170" i="4"/>
  <c r="N20" i="4"/>
  <c r="H32" i="4"/>
  <c r="W37" i="4"/>
  <c r="X37" i="4" s="1"/>
  <c r="L47" i="4"/>
  <c r="V68" i="4"/>
  <c r="Q107" i="4"/>
  <c r="T110" i="4"/>
  <c r="J176" i="4"/>
  <c r="P182" i="4"/>
  <c r="S59" i="4"/>
  <c r="K83" i="4"/>
  <c r="K116" i="4"/>
  <c r="N173" i="4"/>
  <c r="H179" i="4"/>
  <c r="T185" i="4"/>
  <c r="T80" i="4"/>
  <c r="M107" i="4"/>
  <c r="H113" i="4"/>
  <c r="I179" i="4"/>
  <c r="P26" i="4"/>
  <c r="M83" i="4"/>
  <c r="T122" i="4"/>
  <c r="H134" i="4"/>
  <c r="S35" i="4"/>
  <c r="J167" i="4"/>
  <c r="G197" i="4"/>
  <c r="M20" i="4"/>
  <c r="M53" i="4"/>
  <c r="I164" i="4"/>
  <c r="T35" i="4"/>
  <c r="K167" i="4"/>
  <c r="R173" i="4"/>
  <c r="S41" i="4"/>
  <c r="M74" i="4"/>
  <c r="R53" i="4"/>
  <c r="J68" i="4"/>
  <c r="N104" i="4"/>
  <c r="H110" i="4"/>
  <c r="L113" i="4"/>
  <c r="L155" i="4"/>
  <c r="S173" i="4"/>
  <c r="W70" i="4"/>
  <c r="X70" i="4" s="1"/>
  <c r="L122" i="4"/>
  <c r="S158" i="4"/>
  <c r="O179" i="4"/>
  <c r="O197" i="4"/>
  <c r="T23" i="4"/>
  <c r="S32" i="4"/>
  <c r="P62" i="4"/>
  <c r="K68" i="4"/>
  <c r="M167" i="4"/>
  <c r="T173" i="4"/>
  <c r="K176" i="4"/>
  <c r="I185" i="4"/>
  <c r="P50" i="4"/>
  <c r="P71" i="4"/>
  <c r="T71" i="4"/>
  <c r="O119" i="4"/>
  <c r="O149" i="4"/>
  <c r="R74" i="4"/>
  <c r="I86" i="4"/>
  <c r="V110" i="4"/>
  <c r="M122" i="4"/>
  <c r="N167" i="4"/>
  <c r="N188" i="4"/>
  <c r="O68" i="4"/>
  <c r="M98" i="4"/>
  <c r="M128" i="4"/>
  <c r="O143" i="4"/>
  <c r="R44" i="4"/>
  <c r="T68" i="4"/>
  <c r="R77" i="4"/>
  <c r="Q86" i="4"/>
  <c r="T89" i="4"/>
  <c r="I101" i="4"/>
  <c r="R119" i="4"/>
  <c r="H197" i="4"/>
  <c r="S122" i="4"/>
  <c r="T131" i="4"/>
  <c r="V134" i="4"/>
  <c r="P143" i="4"/>
  <c r="M161" i="4"/>
  <c r="W31" i="4"/>
  <c r="X31" i="4" s="1"/>
  <c r="W145" i="4"/>
  <c r="X145" i="4" s="1"/>
  <c r="K65" i="4"/>
  <c r="T74" i="4"/>
  <c r="V17" i="4"/>
  <c r="P47" i="4"/>
  <c r="Q47" i="4"/>
  <c r="I95" i="4"/>
  <c r="G185" i="4"/>
  <c r="J41" i="4"/>
  <c r="V74" i="4"/>
  <c r="R188" i="4"/>
  <c r="S86" i="4"/>
  <c r="J185" i="4"/>
  <c r="R122" i="4"/>
  <c r="Q26" i="4"/>
  <c r="W25" i="4"/>
  <c r="X25" i="4" s="1"/>
  <c r="K185" i="4"/>
  <c r="L20" i="4"/>
  <c r="H47" i="4"/>
  <c r="H80" i="4"/>
  <c r="T146" i="4"/>
  <c r="W43" i="4"/>
  <c r="X43" i="4" s="1"/>
  <c r="R89" i="4"/>
  <c r="R164" i="4"/>
  <c r="R182" i="4"/>
  <c r="L29" i="4"/>
  <c r="I80" i="4"/>
  <c r="I26" i="4"/>
  <c r="M50" i="4"/>
  <c r="H68" i="4"/>
  <c r="R185" i="4"/>
  <c r="V32" i="4"/>
  <c r="S89" i="4"/>
  <c r="P116" i="4"/>
  <c r="T104" i="4"/>
  <c r="G173" i="4"/>
  <c r="S29" i="4"/>
  <c r="O47" i="4"/>
  <c r="L23" i="4"/>
  <c r="Q167" i="4"/>
  <c r="T119" i="4"/>
  <c r="Q146" i="4"/>
  <c r="I194" i="4"/>
  <c r="J20" i="4"/>
  <c r="Q122" i="4"/>
  <c r="N191" i="4"/>
  <c r="R26" i="4"/>
  <c r="S26" i="4"/>
  <c r="R68" i="4"/>
  <c r="P77" i="4"/>
  <c r="H155" i="4"/>
  <c r="T20" i="4"/>
  <c r="T44" i="4"/>
  <c r="W97" i="4"/>
  <c r="X97" i="4" s="1"/>
  <c r="V173" i="4"/>
  <c r="T26" i="4"/>
  <c r="K104" i="4"/>
  <c r="N107" i="4"/>
  <c r="M116" i="4"/>
  <c r="H122" i="4"/>
  <c r="I167" i="4"/>
  <c r="V179" i="4"/>
  <c r="Q185" i="4"/>
  <c r="S164" i="4"/>
  <c r="J146" i="4"/>
  <c r="V146" i="4"/>
  <c r="V167" i="4"/>
  <c r="L17" i="4"/>
  <c r="S44" i="4"/>
  <c r="Q53" i="4"/>
  <c r="H56" i="4"/>
  <c r="L71" i="4"/>
  <c r="J101" i="4"/>
  <c r="L179" i="4"/>
  <c r="R194" i="4"/>
  <c r="R35" i="4"/>
  <c r="O50" i="4"/>
  <c r="O92" i="4"/>
  <c r="W94" i="4"/>
  <c r="X94" i="4" s="1"/>
  <c r="Q128" i="4"/>
  <c r="S194" i="4"/>
  <c r="W58" i="4"/>
  <c r="X58" i="4" s="1"/>
  <c r="I176" i="4"/>
  <c r="Q20" i="4"/>
  <c r="P29" i="4"/>
  <c r="I44" i="4"/>
  <c r="T65" i="4"/>
  <c r="I131" i="4"/>
  <c r="I152" i="4"/>
  <c r="O41" i="4"/>
  <c r="H35" i="4"/>
  <c r="W61" i="4"/>
  <c r="X61" i="4" s="1"/>
  <c r="N116" i="4"/>
  <c r="N128" i="4"/>
  <c r="R131" i="4"/>
  <c r="O140" i="4"/>
  <c r="H146" i="4"/>
  <c r="W151" i="4"/>
  <c r="X151" i="4" s="1"/>
  <c r="R191" i="4"/>
  <c r="H131" i="4"/>
  <c r="M17" i="4"/>
  <c r="H152" i="4"/>
  <c r="I173" i="4"/>
  <c r="W184" i="4"/>
  <c r="X184" i="4" s="1"/>
  <c r="W193" i="4"/>
  <c r="X193" i="4" s="1"/>
  <c r="Q41" i="4"/>
  <c r="R128" i="4"/>
  <c r="V164" i="4"/>
  <c r="P170" i="4"/>
  <c r="W13" i="4"/>
  <c r="X13" i="4" s="1"/>
  <c r="H71" i="4"/>
  <c r="R95" i="4"/>
  <c r="O131" i="4"/>
  <c r="L143" i="4"/>
  <c r="N185" i="4"/>
  <c r="Q29" i="4"/>
  <c r="J44" i="4"/>
  <c r="R116" i="4"/>
  <c r="S128" i="4"/>
  <c r="J131" i="4"/>
  <c r="V131" i="4"/>
  <c r="N146" i="4"/>
  <c r="R149" i="4"/>
  <c r="R23" i="4"/>
  <c r="P17" i="4"/>
  <c r="L56" i="4"/>
  <c r="R62" i="4"/>
  <c r="J65" i="4"/>
  <c r="S95" i="4"/>
  <c r="J98" i="4"/>
  <c r="H107" i="4"/>
  <c r="Q125" i="4"/>
  <c r="K131" i="4"/>
  <c r="P179" i="4"/>
  <c r="G182" i="4"/>
  <c r="J194" i="4"/>
  <c r="V194" i="4"/>
  <c r="H20" i="4"/>
  <c r="R71" i="4"/>
  <c r="Q152" i="4"/>
  <c r="N29" i="4"/>
  <c r="K32" i="4"/>
  <c r="S53" i="4"/>
  <c r="I59" i="4"/>
  <c r="O77" i="4"/>
  <c r="O83" i="4"/>
  <c r="S197" i="4"/>
  <c r="I17" i="4"/>
  <c r="S23" i="4"/>
  <c r="H53" i="4"/>
  <c r="S68" i="4"/>
  <c r="M125" i="4"/>
  <c r="K152" i="4"/>
  <c r="J47" i="4"/>
  <c r="T56" i="4"/>
  <c r="O80" i="4"/>
  <c r="N83" i="4"/>
  <c r="S98" i="4"/>
  <c r="V113" i="4"/>
  <c r="T152" i="4"/>
  <c r="N23" i="4"/>
  <c r="Q71" i="4"/>
  <c r="K74" i="4"/>
  <c r="K92" i="4"/>
  <c r="W159" i="4"/>
  <c r="BZ49" i="2"/>
  <c r="V132" i="4" s="1" a="1"/>
  <c r="V132" i="4" s="1"/>
  <c r="V18" i="4" a="1"/>
  <c r="V18" i="4" s="1"/>
  <c r="W18" i="4" s="1"/>
  <c r="BZ51" i="2"/>
  <c r="V138" i="4" s="1" a="1"/>
  <c r="V138" i="4" s="1"/>
  <c r="W90" i="4"/>
  <c r="W123" i="4"/>
  <c r="CA27" i="2"/>
  <c r="U51" i="3"/>
  <c r="U56" i="3"/>
  <c r="U60" i="3"/>
  <c r="U57" i="3"/>
  <c r="U52" i="3"/>
  <c r="U48" i="3"/>
  <c r="U55" i="3"/>
  <c r="U58" i="3"/>
  <c r="W52" i="3"/>
  <c r="W88" i="4"/>
  <c r="X88" i="4" s="1"/>
  <c r="G48" i="4" a="1"/>
  <c r="G48" i="4" s="1"/>
  <c r="CA21" i="2"/>
  <c r="N164" i="4"/>
  <c r="U50" i="3"/>
  <c r="G126" i="4" a="1"/>
  <c r="G126" i="4" s="1"/>
  <c r="CA47" i="2"/>
  <c r="M191" i="4"/>
  <c r="CA48" i="2"/>
  <c r="AW51" i="2"/>
  <c r="N138" i="4" s="1" a="1"/>
  <c r="N138" i="4" s="1"/>
  <c r="W102" i="4"/>
  <c r="K162" i="4" a="1"/>
  <c r="K162" i="4" s="1"/>
  <c r="BZ50" i="2"/>
  <c r="V135" i="4" s="1" a="1"/>
  <c r="V135" i="4" s="1"/>
  <c r="W45" i="4"/>
  <c r="CA43" i="2"/>
  <c r="V58" i="3"/>
  <c r="V60" i="3"/>
  <c r="V48" i="3"/>
  <c r="R32" i="4"/>
  <c r="M77" i="4"/>
  <c r="V14" i="4"/>
  <c r="W157" i="4"/>
  <c r="X157" i="4" s="1"/>
  <c r="W172" i="4"/>
  <c r="X172" i="4" s="1"/>
  <c r="G30" i="4" a="1"/>
  <c r="G30" i="4" s="1"/>
  <c r="CA15" i="2"/>
  <c r="H189" i="4" a="1"/>
  <c r="H189" i="4" s="1"/>
  <c r="H191" i="4" s="1"/>
  <c r="W28" i="4"/>
  <c r="X28" i="4" s="1"/>
  <c r="W40" i="4"/>
  <c r="X40" i="4" s="1"/>
  <c r="CA33" i="2"/>
  <c r="W46" i="4"/>
  <c r="X46" i="4" s="1"/>
  <c r="W103" i="4"/>
  <c r="X103" i="4" s="1"/>
  <c r="W118" i="4"/>
  <c r="X118" i="4" s="1"/>
  <c r="S15" i="4" a="1"/>
  <c r="S15" i="4" s="1"/>
  <c r="BP51" i="2"/>
  <c r="S138" i="4" s="1" a="1"/>
  <c r="S138" i="4" s="1"/>
  <c r="S140" i="4" s="1"/>
  <c r="CA32" i="2"/>
  <c r="BF51" i="2"/>
  <c r="P138" i="4" s="1" a="1"/>
  <c r="P138" i="4" s="1"/>
  <c r="BF50" i="2"/>
  <c r="P135" i="4" s="1" a="1"/>
  <c r="P135" i="4" s="1"/>
  <c r="P137" i="4" s="1"/>
  <c r="BF49" i="2"/>
  <c r="P132" i="4" s="1" a="1"/>
  <c r="P132" i="4" s="1"/>
  <c r="P134" i="4" s="1"/>
  <c r="P12" i="4" a="1"/>
  <c r="P12" i="4" s="1"/>
  <c r="P14" i="4" s="1"/>
  <c r="F35" i="6" s="1" a="1"/>
  <c r="F35" i="6" s="1"/>
  <c r="Q158" i="4"/>
  <c r="W55" i="4"/>
  <c r="X55" i="4" s="1"/>
  <c r="W67" i="4"/>
  <c r="X67" i="4" s="1"/>
  <c r="W84" i="4"/>
  <c r="W85" i="4"/>
  <c r="X85" i="4" s="1"/>
  <c r="W91" i="4"/>
  <c r="X91" i="4" s="1"/>
  <c r="W153" i="4"/>
  <c r="G155" i="4"/>
  <c r="V191" i="4"/>
  <c r="H63" i="4" a="1"/>
  <c r="H63" i="4" s="1"/>
  <c r="W63" i="4" s="1"/>
  <c r="CA26" i="2"/>
  <c r="G75" i="4" a="1"/>
  <c r="G75" i="4" s="1"/>
  <c r="CA30" i="2"/>
  <c r="H171" i="4" a="1"/>
  <c r="H171" i="4" s="1"/>
  <c r="P23" i="4"/>
  <c r="W64" i="4"/>
  <c r="X64" i="4" s="1"/>
  <c r="W109" i="4"/>
  <c r="X109" i="4" s="1"/>
  <c r="W163" i="4"/>
  <c r="X163" i="4" s="1"/>
  <c r="I146" i="4"/>
  <c r="G156" i="4" a="1"/>
  <c r="G156" i="4" s="1"/>
  <c r="AC50" i="2"/>
  <c r="J135" i="4" s="1" a="1"/>
  <c r="J135" i="4" s="1"/>
  <c r="G60" i="4" a="1"/>
  <c r="G60" i="4" s="1"/>
  <c r="CA25" i="2"/>
  <c r="G141" i="4" a="1"/>
  <c r="G141" i="4" s="1"/>
  <c r="BI51" i="2"/>
  <c r="Q138" i="4" s="1" a="1"/>
  <c r="Q138" i="4" s="1"/>
  <c r="U53" i="3"/>
  <c r="N89" i="4"/>
  <c r="G89" i="4"/>
  <c r="W174" i="4"/>
  <c r="CA44" i="2"/>
  <c r="G20" i="4"/>
  <c r="R110" i="4"/>
  <c r="V104" i="4"/>
  <c r="V52" i="3"/>
  <c r="W79" i="4"/>
  <c r="X79" i="4" s="1"/>
  <c r="G111" i="4" a="1"/>
  <c r="G111" i="4" s="1"/>
  <c r="CA9" i="2"/>
  <c r="AW50" i="2"/>
  <c r="N135" i="4" s="1" a="1"/>
  <c r="N135" i="4" s="1"/>
  <c r="AK51" i="2"/>
  <c r="L138" i="4" s="1" a="1"/>
  <c r="L138" i="4" s="1"/>
  <c r="H23" i="4"/>
  <c r="W114" i="4"/>
  <c r="W120" i="4"/>
  <c r="W147" i="4"/>
  <c r="P197" i="4"/>
  <c r="L197" i="4"/>
  <c r="W195" i="4"/>
  <c r="H14" i="4"/>
  <c r="F27" i="6" s="1" a="1"/>
  <c r="F27" i="6" s="1"/>
  <c r="W76" i="4"/>
  <c r="X76" i="4" s="1"/>
  <c r="Q197" i="4"/>
  <c r="CA11" i="2"/>
  <c r="CA38" i="2"/>
  <c r="G108" i="4" a="1"/>
  <c r="G108" i="4" s="1"/>
  <c r="CA41" i="2"/>
  <c r="N44" i="4"/>
  <c r="I56" i="4"/>
  <c r="J119" i="4"/>
  <c r="G125" i="4"/>
  <c r="M12" i="4" a="1"/>
  <c r="M12" i="4" s="1"/>
  <c r="M14" i="4" s="1"/>
  <c r="AQ49" i="2"/>
  <c r="M132" i="4" s="1" a="1"/>
  <c r="M132" i="4" s="1"/>
  <c r="M134" i="4" s="1"/>
  <c r="AQ51" i="2"/>
  <c r="M138" i="4" s="1" a="1"/>
  <c r="M138" i="4" s="1"/>
  <c r="AQ50" i="2"/>
  <c r="M135" i="4" s="1" a="1"/>
  <c r="M135" i="4" s="1"/>
  <c r="G93" i="4" a="1"/>
  <c r="G93" i="4" s="1"/>
  <c r="CA36" i="2"/>
  <c r="L194" i="4"/>
  <c r="BC50" i="2"/>
  <c r="BC51" i="2"/>
  <c r="G78" i="4" a="1"/>
  <c r="G78" i="4" s="1"/>
  <c r="CA31" i="2"/>
  <c r="CA37" i="2"/>
  <c r="G186" i="4" a="1"/>
  <c r="G186" i="4" s="1"/>
  <c r="U59" i="3"/>
  <c r="W19" i="4"/>
  <c r="X19" i="4" s="1"/>
  <c r="H26" i="4"/>
  <c r="M29" i="4"/>
  <c r="M80" i="4"/>
  <c r="G86" i="4"/>
  <c r="H104" i="4"/>
  <c r="W165" i="4"/>
  <c r="BI50" i="2"/>
  <c r="Q135" i="4" s="1" a="1"/>
  <c r="Q135" i="4" s="1"/>
  <c r="Q137" i="4" s="1"/>
  <c r="Q12" i="4" a="1"/>
  <c r="Q12" i="4" s="1"/>
  <c r="CA10" i="2"/>
  <c r="BT51" i="2"/>
  <c r="T138" i="4" s="1" a="1"/>
  <c r="T138" i="4" s="1"/>
  <c r="T140" i="4" s="1"/>
  <c r="BT50" i="2"/>
  <c r="T135" i="4" s="1" a="1"/>
  <c r="T135" i="4" s="1"/>
  <c r="T137" i="4" s="1"/>
  <c r="BT49" i="2"/>
  <c r="T132" i="4" s="1" a="1"/>
  <c r="T132" i="4" s="1"/>
  <c r="T15" i="4" a="1"/>
  <c r="T15" i="4" s="1"/>
  <c r="T17" i="4" s="1"/>
  <c r="T47" i="4"/>
  <c r="T77" i="4"/>
  <c r="K113" i="4"/>
  <c r="CA46" i="2"/>
  <c r="BI49" i="2"/>
  <c r="Q132" i="4" s="1" a="1"/>
  <c r="Q132" i="4" s="1"/>
  <c r="Q134" i="4" s="1"/>
  <c r="W36" i="4"/>
  <c r="V56" i="4"/>
  <c r="W144" i="4"/>
  <c r="I155" i="4"/>
  <c r="O164" i="4"/>
  <c r="K182" i="4"/>
  <c r="W190" i="4"/>
  <c r="X190" i="4" s="1"/>
  <c r="BL50" i="2"/>
  <c r="R135" i="4" s="1" a="1"/>
  <c r="R135" i="4" s="1"/>
  <c r="R12" i="4" a="1"/>
  <c r="R12" i="4" s="1"/>
  <c r="R14" i="4" s="1"/>
  <c r="F37" i="6" s="1" a="1"/>
  <c r="F37" i="6" s="1"/>
  <c r="BL49" i="2"/>
  <c r="R132" i="4" s="1" a="1"/>
  <c r="R132" i="4" s="1"/>
  <c r="W42" i="4"/>
  <c r="J95" i="4"/>
  <c r="J110" i="4"/>
  <c r="R50" i="2"/>
  <c r="H135" i="4" s="1" a="1"/>
  <c r="H135" i="4" s="1"/>
  <c r="H137" i="4" s="1"/>
  <c r="BL51" i="2"/>
  <c r="R138" i="4" s="1" a="1"/>
  <c r="R138" i="4" s="1"/>
  <c r="W48" i="3"/>
  <c r="W52" i="4"/>
  <c r="X52" i="4" s="1"/>
  <c r="J59" i="4"/>
  <c r="L107" i="4"/>
  <c r="K95" i="4"/>
  <c r="AW49" i="2"/>
  <c r="N132" i="4" s="1" a="1"/>
  <c r="N132" i="4" s="1"/>
  <c r="N134" i="4" s="1"/>
  <c r="W49" i="4"/>
  <c r="X49" i="4" s="1"/>
  <c r="W96" i="4"/>
  <c r="W99" i="4"/>
  <c r="N140" i="4"/>
  <c r="L158" i="4"/>
  <c r="W24" i="4"/>
  <c r="K47" i="4"/>
  <c r="CA20" i="2"/>
  <c r="CA34" i="2"/>
  <c r="J125" i="4"/>
  <c r="H182" i="4"/>
  <c r="V185" i="4"/>
  <c r="AK49" i="2"/>
  <c r="L132" i="4" s="1" a="1"/>
  <c r="L132" i="4" s="1"/>
  <c r="G15" i="4" a="1"/>
  <c r="G15" i="4" s="1"/>
  <c r="W82" i="4"/>
  <c r="X82" i="4" s="1"/>
  <c r="W115" i="4"/>
  <c r="X115" i="4" s="1"/>
  <c r="W160" i="4"/>
  <c r="X160" i="4" s="1"/>
  <c r="L167" i="4"/>
  <c r="W168" i="4"/>
  <c r="X51" i="2"/>
  <c r="I138" i="4" s="1" a="1"/>
  <c r="I138" i="4" s="1"/>
  <c r="X50" i="2"/>
  <c r="I135" i="4" s="1" a="1"/>
  <c r="I135" i="4" s="1"/>
  <c r="I12" i="4" a="1"/>
  <c r="I12" i="4" s="1"/>
  <c r="BV51" i="2"/>
  <c r="U138" i="4" s="1" a="1"/>
  <c r="U138" i="4" s="1"/>
  <c r="U140" i="4" s="1" a="1"/>
  <c r="U140" i="4" s="1"/>
  <c r="BV50" i="2"/>
  <c r="U135" i="4" s="1" a="1"/>
  <c r="U135" i="4" s="1"/>
  <c r="U137" i="4" s="1" a="1"/>
  <c r="U137" i="4" s="1"/>
  <c r="G39" i="4" a="1"/>
  <c r="G39" i="4" s="1"/>
  <c r="CA18" i="2"/>
  <c r="CA23" i="2"/>
  <c r="G54" i="4" a="1"/>
  <c r="G54" i="4" s="1"/>
  <c r="I74" i="4"/>
  <c r="N80" i="4"/>
  <c r="CA35" i="2"/>
  <c r="K155" i="4"/>
  <c r="T197" i="4"/>
  <c r="L49" i="2"/>
  <c r="G132" i="4" s="1" a="1"/>
  <c r="G132" i="4" s="1"/>
  <c r="G134" i="4" s="1"/>
  <c r="X49" i="2"/>
  <c r="I132" i="4" s="1" a="1"/>
  <c r="I132" i="4" s="1"/>
  <c r="I134" i="4" s="1"/>
  <c r="AC51" i="2"/>
  <c r="J138" i="4" s="1" a="1"/>
  <c r="J138" i="4" s="1"/>
  <c r="L26" i="4"/>
  <c r="W106" i="4"/>
  <c r="X106" i="4" s="1"/>
  <c r="O122" i="4"/>
  <c r="W121" i="4"/>
  <c r="X121" i="4" s="1"/>
  <c r="W130" i="4"/>
  <c r="X130" i="4" s="1"/>
  <c r="W136" i="4"/>
  <c r="X136" i="4" s="1"/>
  <c r="W166" i="4"/>
  <c r="X166" i="4" s="1"/>
  <c r="J173" i="4"/>
  <c r="J23" i="4"/>
  <c r="W87" i="4"/>
  <c r="W60" i="3"/>
  <c r="K35" i="4"/>
  <c r="CA24" i="2"/>
  <c r="G69" i="4" a="1"/>
  <c r="G69" i="4" s="1"/>
  <c r="CA28" i="2"/>
  <c r="V152" i="4"/>
  <c r="G177" i="4" a="1"/>
  <c r="G177" i="4" s="1"/>
  <c r="G194" i="4"/>
  <c r="W192" i="4"/>
  <c r="I197" i="4"/>
  <c r="K27" i="4" a="1"/>
  <c r="K27" i="4" s="1"/>
  <c r="K29" i="4" s="1"/>
  <c r="W175" i="4"/>
  <c r="X175" i="4" s="1"/>
  <c r="K12" i="4" a="1"/>
  <c r="K12" i="4" s="1"/>
  <c r="AH51" i="2"/>
  <c r="K138" i="4" s="1" a="1"/>
  <c r="K138" i="4" s="1"/>
  <c r="AH50" i="2"/>
  <c r="K135" i="4" s="1" a="1"/>
  <c r="K135" i="4" s="1"/>
  <c r="K137" i="4" s="1"/>
  <c r="AH49" i="2"/>
  <c r="K132" i="4" s="1" a="1"/>
  <c r="K132" i="4" s="1"/>
  <c r="G21" i="4" a="1"/>
  <c r="G21" i="4" s="1"/>
  <c r="CA12" i="2"/>
  <c r="V26" i="4"/>
  <c r="N32" i="4"/>
  <c r="CA45" i="2"/>
  <c r="W129" i="4"/>
  <c r="T179" i="4"/>
  <c r="T194" i="4"/>
  <c r="J197" i="4"/>
  <c r="AK50" i="2"/>
  <c r="L135" i="4" s="1" a="1"/>
  <c r="L135" i="4" s="1"/>
  <c r="L137" i="4" s="1"/>
  <c r="R51" i="2"/>
  <c r="H138" i="4" s="1" a="1"/>
  <c r="H138" i="4" s="1"/>
  <c r="V59" i="3"/>
  <c r="N95" i="4"/>
  <c r="W150" i="4"/>
  <c r="W154" i="4"/>
  <c r="X154" i="4" s="1"/>
  <c r="W181" i="4"/>
  <c r="X181" i="4" s="1"/>
  <c r="W183" i="4"/>
  <c r="I158" i="4"/>
  <c r="O185" i="4"/>
  <c r="F40" i="6" a="1"/>
  <c r="F40" i="6" s="1"/>
  <c r="D32" i="7" a="1"/>
  <c r="D32" i="7" s="1"/>
  <c r="T167" i="4"/>
  <c r="W57" i="4"/>
  <c r="J158" i="4"/>
  <c r="W139" i="4"/>
  <c r="X139" i="4" s="1"/>
  <c r="I188" i="4"/>
  <c r="L80" i="4"/>
  <c r="W180" i="4"/>
  <c r="W16" i="4"/>
  <c r="X16" i="4" s="1"/>
  <c r="AC49" i="2"/>
  <c r="J132" i="4" s="1" a="1"/>
  <c r="J132" i="4" s="1"/>
  <c r="J134" i="4" s="1"/>
  <c r="CA19" i="2"/>
  <c r="H164" i="4"/>
  <c r="J182" i="4"/>
  <c r="P191" i="4"/>
  <c r="U54" i="3"/>
  <c r="W34" i="4"/>
  <c r="X34" i="4" s="1"/>
  <c r="L14" i="4"/>
  <c r="D23" i="7" s="1" a="1"/>
  <c r="D23" i="7" s="1"/>
  <c r="BC49" i="2"/>
  <c r="CA13" i="2"/>
  <c r="W81" i="4"/>
  <c r="CA39" i="2"/>
  <c r="Q143" i="4"/>
  <c r="V149" i="4"/>
  <c r="P173" i="4"/>
  <c r="S176" i="4"/>
  <c r="W59" i="3"/>
  <c r="W22" i="4"/>
  <c r="X22" i="4" s="1"/>
  <c r="L51" i="2"/>
  <c r="G138" i="4" s="1" a="1"/>
  <c r="G138" i="4" s="1"/>
  <c r="L50" i="2"/>
  <c r="G135" i="4" s="1" a="1"/>
  <c r="G135" i="4" s="1"/>
  <c r="W135" i="4" s="1"/>
  <c r="G72" i="4" a="1"/>
  <c r="G72" i="4" s="1"/>
  <c r="CA29" i="2"/>
  <c r="G105" i="4" a="1"/>
  <c r="G105" i="4" s="1"/>
  <c r="CA40" i="2"/>
  <c r="P119" i="4"/>
  <c r="O44" i="4"/>
  <c r="W73" i="4"/>
  <c r="X73" i="4" s="1"/>
  <c r="O86" i="4"/>
  <c r="W100" i="4"/>
  <c r="X100" i="4" s="1"/>
  <c r="W148" i="4"/>
  <c r="X148" i="4" s="1"/>
  <c r="O158" i="4"/>
  <c r="O182" i="4"/>
  <c r="W187" i="4"/>
  <c r="X187" i="4" s="1"/>
  <c r="BP49" i="2"/>
  <c r="S132" i="4" s="1" a="1"/>
  <c r="S132" i="4" s="1"/>
  <c r="V56" i="3"/>
  <c r="V54" i="3"/>
  <c r="S101" i="4"/>
  <c r="W127" i="4"/>
  <c r="X127" i="4" s="1"/>
  <c r="O167" i="4"/>
  <c r="W56" i="3"/>
  <c r="W58" i="3"/>
  <c r="W54" i="3"/>
  <c r="W133" i="4"/>
  <c r="X133" i="4" s="1"/>
  <c r="O137" i="4"/>
  <c r="W196" i="4"/>
  <c r="X196" i="4" s="1"/>
  <c r="H185" i="4"/>
  <c r="O191" i="4"/>
  <c r="M38" i="4"/>
  <c r="G68" i="4"/>
  <c r="L176" i="4"/>
  <c r="W117" i="4"/>
  <c r="I32" i="4"/>
  <c r="N110" i="4"/>
  <c r="W124" i="4"/>
  <c r="X124" i="4" s="1"/>
  <c r="I20" i="4"/>
  <c r="W112" i="4"/>
  <c r="X112" i="4" s="1"/>
  <c r="W169" i="4"/>
  <c r="X169" i="4" s="1"/>
  <c r="W178" i="4"/>
  <c r="X178" i="4" s="1"/>
  <c r="CA22" i="2"/>
  <c r="K191" i="4"/>
  <c r="T14" i="4"/>
  <c r="W142" i="4"/>
  <c r="X142" i="4" s="1"/>
  <c r="M176" i="4"/>
  <c r="G33" i="4" a="1"/>
  <c r="G33" i="4" s="1"/>
  <c r="CA16" i="2"/>
  <c r="J89" i="4"/>
  <c r="N161" i="4"/>
  <c r="U49" i="3"/>
  <c r="G51" i="4" a="1"/>
  <c r="G51" i="4" s="1"/>
  <c r="W66" i="4"/>
  <c r="V49" i="3"/>
  <c r="V51" i="3"/>
  <c r="V53" i="3"/>
  <c r="V55" i="3"/>
  <c r="V57" i="3"/>
  <c r="W49" i="3"/>
  <c r="W51" i="3"/>
  <c r="W53" i="3"/>
  <c r="W55" i="3"/>
  <c r="W57" i="3"/>
  <c r="W132" i="4" l="1"/>
  <c r="W134" i="4" s="1"/>
  <c r="D25" i="7" a="1"/>
  <c r="D25" i="7" s="1"/>
  <c r="D24" i="7" a="1"/>
  <c r="D24" i="7" s="1"/>
  <c r="K29" i="5"/>
  <c r="K20" i="5"/>
  <c r="K16" i="5"/>
  <c r="K15" i="5"/>
  <c r="K19" i="5"/>
  <c r="K14" i="5"/>
  <c r="K13" i="5"/>
  <c r="K12" i="5"/>
  <c r="K27" i="5"/>
  <c r="K25" i="5"/>
  <c r="K24" i="5"/>
  <c r="K23" i="5"/>
  <c r="K22" i="5"/>
  <c r="K21" i="5"/>
  <c r="K17" i="5"/>
  <c r="F31" i="6" a="1"/>
  <c r="F31" i="6" s="1"/>
  <c r="D31" i="7" a="1"/>
  <c r="D31" i="7" s="1"/>
  <c r="F41" i="6" a="1"/>
  <c r="F41" i="6" s="1"/>
  <c r="F33" i="6" a="1"/>
  <c r="F33" i="6" s="1"/>
  <c r="F43" i="6" a="1"/>
  <c r="F43" i="6" s="1"/>
  <c r="F39" i="6" a="1"/>
  <c r="F39" i="6" s="1"/>
  <c r="K14" i="4"/>
  <c r="K59" i="4"/>
  <c r="O125" i="4"/>
  <c r="K170" i="4"/>
  <c r="J104" i="4"/>
  <c r="G116" i="4"/>
  <c r="K50" i="4"/>
  <c r="K164" i="4"/>
  <c r="R167" i="4"/>
  <c r="O89" i="4"/>
  <c r="J50" i="4"/>
  <c r="R170" i="4"/>
  <c r="I53" i="4"/>
  <c r="L89" i="4"/>
  <c r="J56" i="4"/>
  <c r="N65" i="4"/>
  <c r="Q170" i="4"/>
  <c r="J122" i="4"/>
  <c r="M62" i="4"/>
  <c r="Q77" i="4"/>
  <c r="H92" i="4"/>
  <c r="I170" i="4"/>
  <c r="N149" i="4"/>
  <c r="P185" i="4"/>
  <c r="R146" i="4"/>
  <c r="Q179" i="4"/>
  <c r="N182" i="4"/>
  <c r="S137" i="4"/>
  <c r="M164" i="4"/>
  <c r="L134" i="4"/>
  <c r="O56" i="4"/>
  <c r="P38" i="4"/>
  <c r="P194" i="4"/>
  <c r="O170" i="4"/>
  <c r="P95" i="4"/>
  <c r="Q32" i="4"/>
  <c r="H17" i="4"/>
  <c r="O35" i="4"/>
  <c r="O29" i="4"/>
  <c r="V182" i="4"/>
  <c r="V41" i="4"/>
  <c r="N56" i="4"/>
  <c r="Q104" i="4"/>
  <c r="L191" i="4"/>
  <c r="T41" i="4"/>
  <c r="K23" i="4"/>
  <c r="S74" i="4"/>
  <c r="J149" i="4"/>
  <c r="G152" i="4"/>
  <c r="P20" i="4"/>
  <c r="D27" i="7" s="1" a="1"/>
  <c r="D27" i="7" s="1"/>
  <c r="I14" i="4"/>
  <c r="L188" i="4"/>
  <c r="P164" i="4"/>
  <c r="Q101" i="4"/>
  <c r="L92" i="4"/>
  <c r="S50" i="4"/>
  <c r="M170" i="4"/>
  <c r="O161" i="4"/>
  <c r="P80" i="4"/>
  <c r="H38" i="4"/>
  <c r="R137" i="4"/>
  <c r="K44" i="4"/>
  <c r="J77" i="4"/>
  <c r="G14" i="4"/>
  <c r="K41" i="4"/>
  <c r="I149" i="4"/>
  <c r="S110" i="4"/>
  <c r="S182" i="4"/>
  <c r="M41" i="4"/>
  <c r="P35" i="4"/>
  <c r="V50" i="4"/>
  <c r="J80" i="4"/>
  <c r="P152" i="4"/>
  <c r="I122" i="4"/>
  <c r="P167" i="4"/>
  <c r="P161" i="4"/>
  <c r="G137" i="4"/>
  <c r="S152" i="4"/>
  <c r="T98" i="4"/>
  <c r="V197" i="4"/>
  <c r="N35" i="4"/>
  <c r="J179" i="4"/>
  <c r="T32" i="4"/>
  <c r="P74" i="4"/>
  <c r="I125" i="4"/>
  <c r="P146" i="4"/>
  <c r="S119" i="4"/>
  <c r="N50" i="4"/>
  <c r="S179" i="4"/>
  <c r="S38" i="4"/>
  <c r="H50" i="4"/>
  <c r="M89" i="4"/>
  <c r="Q188" i="4"/>
  <c r="N113" i="4"/>
  <c r="P68" i="4"/>
  <c r="S62" i="4"/>
  <c r="G170" i="4"/>
  <c r="I83" i="4"/>
  <c r="T53" i="4"/>
  <c r="J32" i="4"/>
  <c r="L185" i="4"/>
  <c r="H158" i="4"/>
  <c r="R59" i="4"/>
  <c r="N119" i="4"/>
  <c r="K56" i="4"/>
  <c r="H89" i="4"/>
  <c r="I71" i="4"/>
  <c r="Q23" i="4"/>
  <c r="Q68" i="4"/>
  <c r="K62" i="4"/>
  <c r="Q119" i="4"/>
  <c r="M104" i="4"/>
  <c r="K125" i="4"/>
  <c r="Q65" i="4"/>
  <c r="S65" i="4"/>
  <c r="I92" i="4"/>
  <c r="R41" i="4"/>
  <c r="K146" i="4"/>
  <c r="H77" i="4"/>
  <c r="O71" i="4"/>
  <c r="M47" i="4"/>
  <c r="H194" i="4"/>
  <c r="N152" i="4"/>
  <c r="Q50" i="4"/>
  <c r="N194" i="4"/>
  <c r="M137" i="4"/>
  <c r="T170" i="4"/>
  <c r="P188" i="4"/>
  <c r="L95" i="4"/>
  <c r="L62" i="4"/>
  <c r="J188" i="4"/>
  <c r="H170" i="4"/>
  <c r="R113" i="4"/>
  <c r="G122" i="4"/>
  <c r="I47" i="4"/>
  <c r="H29" i="4"/>
  <c r="Q173" i="4"/>
  <c r="P128" i="4"/>
  <c r="L146" i="4"/>
  <c r="N71" i="4"/>
  <c r="V122" i="4"/>
  <c r="P149" i="4"/>
  <c r="Q74" i="4"/>
  <c r="P98" i="4"/>
  <c r="N59" i="4"/>
  <c r="J152" i="4"/>
  <c r="M68" i="4"/>
  <c r="I140" i="4"/>
  <c r="O176" i="4"/>
  <c r="Q83" i="4"/>
  <c r="V107" i="4"/>
  <c r="H125" i="4"/>
  <c r="I161" i="4"/>
  <c r="G47" i="4"/>
  <c r="T92" i="4"/>
  <c r="G176" i="4"/>
  <c r="G149" i="4"/>
  <c r="G38" i="4"/>
  <c r="G44" i="4"/>
  <c r="M140" i="4"/>
  <c r="O110" i="4"/>
  <c r="M185" i="4"/>
  <c r="Q35" i="4"/>
  <c r="K53" i="4"/>
  <c r="M26" i="4"/>
  <c r="Q17" i="4"/>
  <c r="O26" i="4"/>
  <c r="K86" i="4"/>
  <c r="L101" i="4"/>
  <c r="K89" i="4"/>
  <c r="N86" i="4"/>
  <c r="S47" i="4"/>
  <c r="O188" i="4"/>
  <c r="J62" i="4"/>
  <c r="H74" i="4"/>
  <c r="N176" i="4"/>
  <c r="L86" i="4"/>
  <c r="J14" i="4"/>
  <c r="L44" i="4"/>
  <c r="K194" i="4"/>
  <c r="T158" i="4"/>
  <c r="I62" i="4"/>
  <c r="K128" i="4"/>
  <c r="O101" i="4"/>
  <c r="H140" i="4"/>
  <c r="K80" i="4"/>
  <c r="S116" i="4"/>
  <c r="S80" i="4"/>
  <c r="L83" i="4"/>
  <c r="T134" i="4"/>
  <c r="Q140" i="4"/>
  <c r="K26" i="4"/>
  <c r="L182" i="4"/>
  <c r="M131" i="4"/>
  <c r="P65" i="4"/>
  <c r="J164" i="4"/>
  <c r="N158" i="4"/>
  <c r="P83" i="4"/>
  <c r="M59" i="4"/>
  <c r="Q38" i="4"/>
  <c r="V158" i="4"/>
  <c r="M56" i="4"/>
  <c r="K38" i="4"/>
  <c r="S143" i="4"/>
  <c r="H167" i="4"/>
  <c r="Q89" i="4"/>
  <c r="L116" i="4"/>
  <c r="J71" i="4"/>
  <c r="Q194" i="4"/>
  <c r="J53" i="4"/>
  <c r="V116" i="4"/>
  <c r="L149" i="4"/>
  <c r="V71" i="4"/>
  <c r="K101" i="4"/>
  <c r="H176" i="4"/>
  <c r="G131" i="4"/>
  <c r="M179" i="4"/>
  <c r="I77" i="4"/>
  <c r="T125" i="4"/>
  <c r="V176" i="4"/>
  <c r="I110" i="4"/>
  <c r="Q113" i="4"/>
  <c r="L68" i="4"/>
  <c r="N155" i="4"/>
  <c r="K77" i="4"/>
  <c r="L164" i="4"/>
  <c r="V188" i="4"/>
  <c r="O116" i="4"/>
  <c r="I119" i="4"/>
  <c r="O146" i="4"/>
  <c r="V77" i="4"/>
  <c r="G26" i="4"/>
  <c r="G29" i="4"/>
  <c r="G164" i="4"/>
  <c r="P113" i="4"/>
  <c r="P86" i="4"/>
  <c r="Q191" i="4"/>
  <c r="O173" i="4"/>
  <c r="I68" i="4"/>
  <c r="G146" i="4"/>
  <c r="S170" i="4"/>
  <c r="H119" i="4"/>
  <c r="K71" i="4"/>
  <c r="H86" i="4"/>
  <c r="T191" i="4"/>
  <c r="P101" i="4"/>
  <c r="H59" i="4"/>
  <c r="P59" i="4"/>
  <c r="R38" i="4"/>
  <c r="R179" i="4"/>
  <c r="M65" i="4"/>
  <c r="N131" i="4"/>
  <c r="I35" i="4"/>
  <c r="Q116" i="4"/>
  <c r="P110" i="4"/>
  <c r="T143" i="4"/>
  <c r="P41" i="4"/>
  <c r="N26" i="4"/>
  <c r="L110" i="4"/>
  <c r="T50" i="4"/>
  <c r="P158" i="4"/>
  <c r="R104" i="4"/>
  <c r="J128" i="4"/>
  <c r="S71" i="4"/>
  <c r="P176" i="4"/>
  <c r="T59" i="4"/>
  <c r="J143" i="4"/>
  <c r="O95" i="4"/>
  <c r="V125" i="4"/>
  <c r="O104" i="4"/>
  <c r="O17" i="4"/>
  <c r="R161" i="4"/>
  <c r="K158" i="4"/>
  <c r="H101" i="4"/>
  <c r="R83" i="4"/>
  <c r="H44" i="4"/>
  <c r="O20" i="4"/>
  <c r="N38" i="4"/>
  <c r="P53" i="4"/>
  <c r="P104" i="4"/>
  <c r="S131" i="4"/>
  <c r="J113" i="4"/>
  <c r="Q182" i="4"/>
  <c r="P122" i="4"/>
  <c r="S188" i="4"/>
  <c r="T188" i="4"/>
  <c r="N74" i="4"/>
  <c r="V62" i="4"/>
  <c r="N77" i="4"/>
  <c r="H188" i="4"/>
  <c r="I113" i="4"/>
  <c r="P140" i="4"/>
  <c r="V101" i="4"/>
  <c r="I143" i="4"/>
  <c r="V143" i="4"/>
  <c r="M143" i="4"/>
  <c r="T182" i="4"/>
  <c r="L59" i="4"/>
  <c r="V44" i="4"/>
  <c r="N17" i="4"/>
  <c r="K119" i="4"/>
  <c r="K17" i="4"/>
  <c r="Q62" i="4"/>
  <c r="V92" i="4"/>
  <c r="R158" i="4"/>
  <c r="S113" i="4"/>
  <c r="L50" i="4"/>
  <c r="I137" i="4"/>
  <c r="V38" i="4"/>
  <c r="J107" i="4"/>
  <c r="M92" i="4"/>
  <c r="O152" i="4"/>
  <c r="J137" i="4"/>
  <c r="V80" i="4"/>
  <c r="R101" i="4"/>
  <c r="O32" i="4"/>
  <c r="J29" i="4"/>
  <c r="H41" i="4"/>
  <c r="G101" i="4"/>
  <c r="O98" i="4"/>
  <c r="Q164" i="4"/>
  <c r="N62" i="4"/>
  <c r="G65" i="4"/>
  <c r="M182" i="4"/>
  <c r="Q131" i="4"/>
  <c r="P92" i="4"/>
  <c r="H149" i="4"/>
  <c r="I116" i="4"/>
  <c r="N122" i="4"/>
  <c r="T149" i="4"/>
  <c r="I182" i="4"/>
  <c r="V83" i="4"/>
  <c r="J191" i="4"/>
  <c r="S83" i="4"/>
  <c r="J38" i="4"/>
  <c r="O194" i="4"/>
  <c r="T113" i="4"/>
  <c r="R20" i="4"/>
  <c r="D29" i="7" s="1" a="1"/>
  <c r="D29" i="7" s="1"/>
  <c r="K20" i="4"/>
  <c r="I38" i="4"/>
  <c r="R143" i="4"/>
  <c r="P107" i="4"/>
  <c r="M71" i="4"/>
  <c r="I98" i="4"/>
  <c r="T86" i="4"/>
  <c r="O74" i="4"/>
  <c r="P125" i="4"/>
  <c r="G161" i="4"/>
  <c r="R152" i="4"/>
  <c r="R107" i="4"/>
  <c r="R47" i="4"/>
  <c r="Q98" i="4"/>
  <c r="V140" i="4"/>
  <c r="T176" i="4"/>
  <c r="H83" i="4"/>
  <c r="L140" i="4"/>
  <c r="O53" i="4"/>
  <c r="M149" i="4"/>
  <c r="M158" i="4"/>
  <c r="N137" i="4"/>
  <c r="K107" i="4"/>
  <c r="S161" i="4"/>
  <c r="V170" i="4"/>
  <c r="V35" i="4"/>
  <c r="H116" i="4"/>
  <c r="M101" i="4"/>
  <c r="R29" i="4"/>
  <c r="T128" i="4"/>
  <c r="K140" i="4"/>
  <c r="L125" i="4"/>
  <c r="K173" i="4"/>
  <c r="S20" i="4"/>
  <c r="G104" i="4"/>
  <c r="J74" i="4"/>
  <c r="K149" i="4"/>
  <c r="L53" i="4"/>
  <c r="O65" i="4"/>
  <c r="K122" i="4"/>
  <c r="J86" i="4"/>
  <c r="K188" i="4"/>
  <c r="Q149" i="4"/>
  <c r="T116" i="4"/>
  <c r="L35" i="4"/>
  <c r="J17" i="4"/>
  <c r="O38" i="4"/>
  <c r="V98" i="4"/>
  <c r="L152" i="4"/>
  <c r="M119" i="4"/>
  <c r="S149" i="4"/>
  <c r="P155" i="4"/>
  <c r="R56" i="4"/>
  <c r="M86" i="4"/>
  <c r="M194" i="4"/>
  <c r="J140" i="4"/>
  <c r="L65" i="4"/>
  <c r="V29" i="4"/>
  <c r="S134" i="4"/>
  <c r="L74" i="4"/>
  <c r="H98" i="4"/>
  <c r="T38" i="4"/>
  <c r="P44" i="4"/>
  <c r="L170" i="4"/>
  <c r="G119" i="4"/>
  <c r="G98" i="4"/>
  <c r="I104" i="4"/>
  <c r="Q95" i="4"/>
  <c r="V89" i="4"/>
  <c r="T161" i="4"/>
  <c r="N179" i="4"/>
  <c r="V86" i="4"/>
  <c r="V155" i="4"/>
  <c r="S14" i="4"/>
  <c r="R98" i="4"/>
  <c r="R197" i="4"/>
  <c r="O59" i="4"/>
  <c r="R86" i="4"/>
  <c r="K197" i="4"/>
  <c r="P131" i="4"/>
  <c r="O14" i="4"/>
  <c r="G167" i="4"/>
  <c r="S167" i="4"/>
  <c r="M44" i="4"/>
  <c r="P56" i="4"/>
  <c r="L38" i="4"/>
  <c r="P32" i="4"/>
  <c r="V20" i="4"/>
  <c r="D33" i="7" s="1" a="1"/>
  <c r="D33" i="7" s="1"/>
  <c r="N101" i="4"/>
  <c r="J26" i="4"/>
  <c r="S191" i="4"/>
  <c r="H128" i="4"/>
  <c r="H161" i="4"/>
  <c r="I23" i="4"/>
  <c r="M146" i="4"/>
  <c r="N125" i="4"/>
  <c r="M155" i="4"/>
  <c r="K134" i="4"/>
  <c r="R65" i="4"/>
  <c r="V119" i="4"/>
  <c r="O134" i="4"/>
  <c r="O23" i="4"/>
  <c r="V59" i="4"/>
  <c r="N41" i="4"/>
  <c r="Q56" i="4"/>
  <c r="G92" i="4"/>
  <c r="L104" i="4"/>
  <c r="N92" i="4"/>
  <c r="K110" i="4"/>
  <c r="J35" i="4"/>
  <c r="R140" i="4"/>
  <c r="H143" i="4"/>
  <c r="J92" i="4"/>
  <c r="V137" i="4"/>
  <c r="O113" i="4"/>
  <c r="R134" i="4"/>
  <c r="Q176" i="4"/>
  <c r="N68" i="4"/>
  <c r="V47" i="4"/>
  <c r="R155" i="4"/>
  <c r="M23" i="4"/>
  <c r="L119" i="4"/>
  <c r="K161" i="4"/>
  <c r="N197" i="4"/>
  <c r="V65" i="4"/>
  <c r="H65" i="4"/>
  <c r="Q14" i="4"/>
  <c r="S17" i="4"/>
  <c r="D19" i="7" a="1"/>
  <c r="D19" i="7" s="1"/>
  <c r="X66" i="4"/>
  <c r="X68" i="4" s="1"/>
  <c r="Z66" i="4" s="1" a="1"/>
  <c r="Z66" i="4" s="1"/>
  <c r="W68" i="4"/>
  <c r="X63" i="4"/>
  <c r="X65" i="4" s="1"/>
  <c r="Z63" i="4" s="1" a="1"/>
  <c r="Z63" i="4" s="1"/>
  <c r="W65" i="4"/>
  <c r="X87" i="4"/>
  <c r="X89" i="4" s="1"/>
  <c r="Z87" i="4" s="1" a="1"/>
  <c r="Z87" i="4" s="1"/>
  <c r="W89" i="4"/>
  <c r="X114" i="4"/>
  <c r="X116" i="4" s="1"/>
  <c r="Z114" i="4" s="1" a="1"/>
  <c r="Z114" i="4" s="1"/>
  <c r="W116" i="4"/>
  <c r="X102" i="4"/>
  <c r="X104" i="4" s="1"/>
  <c r="Z102" i="4" s="1" a="1"/>
  <c r="Z102" i="4" s="1"/>
  <c r="W104" i="4"/>
  <c r="W98" i="4"/>
  <c r="X96" i="4"/>
  <c r="X98" i="4" s="1"/>
  <c r="Z96" i="4" s="1" a="1"/>
  <c r="Z96" i="4" s="1"/>
  <c r="W86" i="4"/>
  <c r="X84" i="4"/>
  <c r="X86" i="4" s="1"/>
  <c r="Z84" i="4" s="1" a="1"/>
  <c r="Z84" i="4" s="1"/>
  <c r="X132" i="4"/>
  <c r="X134" i="4" s="1"/>
  <c r="Z132" i="4" s="1" a="1"/>
  <c r="Z132" i="4" s="1"/>
  <c r="X123" i="4"/>
  <c r="X125" i="4" s="1"/>
  <c r="Z123" i="4" s="1" a="1"/>
  <c r="Z123" i="4" s="1"/>
  <c r="W125" i="4"/>
  <c r="X18" i="4"/>
  <c r="X20" i="4" s="1"/>
  <c r="Z18" i="4" s="1" a="1"/>
  <c r="Z18" i="4" s="1"/>
  <c r="W20" i="4"/>
  <c r="G56" i="4"/>
  <c r="W54" i="4"/>
  <c r="W119" i="4"/>
  <c r="X117" i="4"/>
  <c r="X119" i="4" s="1"/>
  <c r="Z117" i="4" s="1" a="1"/>
  <c r="Z117" i="4" s="1"/>
  <c r="W72" i="4"/>
  <c r="G74" i="4"/>
  <c r="W39" i="4"/>
  <c r="G41" i="4"/>
  <c r="W170" i="4"/>
  <c r="X168" i="4"/>
  <c r="X170" i="4" s="1"/>
  <c r="Z168" i="4" s="1" a="1"/>
  <c r="Z168" i="4" s="1"/>
  <c r="W69" i="4"/>
  <c r="G71" i="4"/>
  <c r="W93" i="4"/>
  <c r="G95" i="4"/>
  <c r="X147" i="4"/>
  <c r="X149" i="4" s="1"/>
  <c r="Z147" i="4" s="1" a="1"/>
  <c r="Z147" i="4" s="1"/>
  <c r="W149" i="4"/>
  <c r="W60" i="4"/>
  <c r="G62" i="4"/>
  <c r="H173" i="4"/>
  <c r="W171" i="4"/>
  <c r="X135" i="4"/>
  <c r="X137" i="4" s="1"/>
  <c r="Z135" i="4" s="1" a="1"/>
  <c r="Z135" i="4" s="1"/>
  <c r="W137" i="4"/>
  <c r="W51" i="4"/>
  <c r="G53" i="4"/>
  <c r="X165" i="4"/>
  <c r="X167" i="4" s="1"/>
  <c r="Z165" i="4" s="1" a="1"/>
  <c r="Z165" i="4" s="1"/>
  <c r="W167" i="4"/>
  <c r="G80" i="4"/>
  <c r="W78" i="4"/>
  <c r="X129" i="4"/>
  <c r="X131" i="4" s="1"/>
  <c r="Z129" i="4" s="1" a="1"/>
  <c r="Z129" i="4" s="1"/>
  <c r="W131" i="4"/>
  <c r="G110" i="4"/>
  <c r="W108" i="4"/>
  <c r="W194" i="4"/>
  <c r="X192" i="4"/>
  <c r="X194" i="4" s="1"/>
  <c r="Z192" i="4" s="1" a="1"/>
  <c r="Z192" i="4" s="1"/>
  <c r="CA51" i="2"/>
  <c r="CA49" i="2"/>
  <c r="CA50" i="2"/>
  <c r="W75" i="4"/>
  <c r="G77" i="4"/>
  <c r="X42" i="4"/>
  <c r="X44" i="4" s="1"/>
  <c r="Z42" i="4" s="1" a="1"/>
  <c r="Z42" i="4" s="1"/>
  <c r="W44" i="4"/>
  <c r="W111" i="4"/>
  <c r="G113" i="4"/>
  <c r="X180" i="4"/>
  <c r="X182" i="4" s="1"/>
  <c r="Z180" i="4" s="1" a="1"/>
  <c r="Z180" i="4" s="1"/>
  <c r="W182" i="4"/>
  <c r="W27" i="4"/>
  <c r="G158" i="4"/>
  <c r="W156" i="4"/>
  <c r="X36" i="4"/>
  <c r="X38" i="4" s="1"/>
  <c r="Z36" i="4" s="1" a="1"/>
  <c r="Z36" i="4" s="1"/>
  <c r="W38" i="4"/>
  <c r="G32" i="4"/>
  <c r="W30" i="4"/>
  <c r="G140" i="4"/>
  <c r="W138" i="4"/>
  <c r="W162" i="4"/>
  <c r="W33" i="4"/>
  <c r="G35" i="4"/>
  <c r="W152" i="4"/>
  <c r="X150" i="4"/>
  <c r="X152" i="4" s="1"/>
  <c r="Z150" i="4" s="1" a="1"/>
  <c r="Z150" i="4" s="1"/>
  <c r="G188" i="4"/>
  <c r="W186" i="4"/>
  <c r="W12" i="4"/>
  <c r="W176" i="4"/>
  <c r="X174" i="4"/>
  <c r="X176" i="4" s="1"/>
  <c r="Z174" i="4" s="1" a="1"/>
  <c r="Z174" i="4" s="1"/>
  <c r="W141" i="4"/>
  <c r="G143" i="4"/>
  <c r="W47" i="4"/>
  <c r="X45" i="4"/>
  <c r="X47" i="4" s="1"/>
  <c r="Z45" i="4" s="1" a="1"/>
  <c r="Z45" i="4" s="1"/>
  <c r="W161" i="4"/>
  <c r="X159" i="4"/>
  <c r="X161" i="4" s="1"/>
  <c r="Z159" i="4" s="1" a="1"/>
  <c r="Z159" i="4" s="1"/>
  <c r="X99" i="4"/>
  <c r="X101" i="4" s="1"/>
  <c r="Z99" i="4" s="1" a="1"/>
  <c r="Z99" i="4" s="1"/>
  <c r="W101" i="4"/>
  <c r="W83" i="4"/>
  <c r="X81" i="4"/>
  <c r="X83" i="4" s="1"/>
  <c r="Z81" i="4" s="1" a="1"/>
  <c r="Z81" i="4" s="1"/>
  <c r="W15" i="4"/>
  <c r="G17" i="4"/>
  <c r="G128" i="4"/>
  <c r="W126" i="4"/>
  <c r="X90" i="4"/>
  <c r="X92" i="4" s="1"/>
  <c r="Z90" i="4" s="1" a="1"/>
  <c r="Z90" i="4" s="1"/>
  <c r="W92" i="4"/>
  <c r="W105" i="4"/>
  <c r="G107" i="4"/>
  <c r="W26" i="4"/>
  <c r="X24" i="4"/>
  <c r="X26" i="4" s="1"/>
  <c r="Z24" i="4" s="1" a="1"/>
  <c r="Z24" i="4" s="1"/>
  <c r="X144" i="4"/>
  <c r="X146" i="4" s="1"/>
  <c r="Z144" i="4" s="1" a="1"/>
  <c r="Z144" i="4" s="1"/>
  <c r="W146" i="4"/>
  <c r="W177" i="4"/>
  <c r="G179" i="4"/>
  <c r="X183" i="4"/>
  <c r="X185" i="4" s="1"/>
  <c r="Z183" i="4" s="1" a="1"/>
  <c r="Z183" i="4" s="1"/>
  <c r="W185" i="4"/>
  <c r="X195" i="4"/>
  <c r="X197" i="4" s="1"/>
  <c r="Z195" i="4" s="1" a="1"/>
  <c r="Z195" i="4" s="1"/>
  <c r="W197" i="4"/>
  <c r="W59" i="4"/>
  <c r="X57" i="4"/>
  <c r="X59" i="4" s="1"/>
  <c r="Z57" i="4" s="1" a="1"/>
  <c r="Z57" i="4" s="1"/>
  <c r="W21" i="4"/>
  <c r="G23" i="4"/>
  <c r="W189" i="4"/>
  <c r="W122" i="4"/>
  <c r="X120" i="4"/>
  <c r="X122" i="4" s="1"/>
  <c r="Z120" i="4" s="1" a="1"/>
  <c r="Z120" i="4" s="1"/>
  <c r="X153" i="4"/>
  <c r="X155" i="4" s="1"/>
  <c r="Z153" i="4" s="1" a="1"/>
  <c r="Z153" i="4" s="1"/>
  <c r="W155" i="4"/>
  <c r="G50" i="4"/>
  <c r="W48" i="4"/>
  <c r="D20" i="7" l="1" a="1"/>
  <c r="D20" i="7" s="1"/>
  <c r="F28" i="6" a="1"/>
  <c r="F28" i="6" s="1"/>
  <c r="D22" i="7" a="1"/>
  <c r="D22" i="7" s="1"/>
  <c r="F30" i="6" a="1"/>
  <c r="F30" i="6" s="1"/>
  <c r="D26" i="7" a="1"/>
  <c r="D26" i="7" s="1"/>
  <c r="F34" i="6" a="1"/>
  <c r="F34" i="6" s="1"/>
  <c r="D21" i="7" a="1"/>
  <c r="D21" i="7" s="1"/>
  <c r="F29" i="6" a="1"/>
  <c r="F29" i="6" s="1"/>
  <c r="D28" i="7" a="1"/>
  <c r="D28" i="7" s="1"/>
  <c r="F36" i="6" a="1"/>
  <c r="F36" i="6" s="1"/>
  <c r="D30" i="7" a="1"/>
  <c r="D30" i="7" s="1"/>
  <c r="F38" i="6" a="1"/>
  <c r="F38" i="6" s="1"/>
  <c r="X75" i="4"/>
  <c r="X77" i="4" s="1"/>
  <c r="Z75" i="4" s="1" a="1"/>
  <c r="Z75" i="4" s="1"/>
  <c r="W77" i="4"/>
  <c r="X78" i="4"/>
  <c r="X80" i="4" s="1"/>
  <c r="Z78" i="4" s="1" a="1"/>
  <c r="Z78" i="4" s="1"/>
  <c r="W80" i="4"/>
  <c r="W140" i="4"/>
  <c r="X138" i="4"/>
  <c r="X140" i="4" s="1"/>
  <c r="Z138" i="4" s="1" a="1"/>
  <c r="Z138" i="4" s="1"/>
  <c r="X27" i="4"/>
  <c r="X29" i="4" s="1"/>
  <c r="Z27" i="4" s="1" a="1"/>
  <c r="Z27" i="4" s="1"/>
  <c r="W29" i="4"/>
  <c r="X30" i="4"/>
  <c r="X32" i="4" s="1"/>
  <c r="Z30" i="4" s="1" a="1"/>
  <c r="Z30" i="4" s="1"/>
  <c r="W32" i="4"/>
  <c r="X51" i="4"/>
  <c r="X53" i="4" s="1"/>
  <c r="Z51" i="4" s="1" a="1"/>
  <c r="Z51" i="4" s="1"/>
  <c r="W53" i="4"/>
  <c r="W23" i="4"/>
  <c r="X21" i="4"/>
  <c r="X23" i="4" s="1"/>
  <c r="Z21" i="4" s="1" a="1"/>
  <c r="Z21" i="4" s="1"/>
  <c r="W107" i="4"/>
  <c r="X105" i="4"/>
  <c r="X107" i="4" s="1"/>
  <c r="Z105" i="4" s="1" a="1"/>
  <c r="Z105" i="4" s="1"/>
  <c r="X111" i="4"/>
  <c r="X113" i="4" s="1"/>
  <c r="Z111" i="4" s="1" a="1"/>
  <c r="Z111" i="4" s="1"/>
  <c r="W113" i="4"/>
  <c r="X54" i="4"/>
  <c r="X56" i="4" s="1"/>
  <c r="Z54" i="4" s="1" a="1"/>
  <c r="Z54" i="4" s="1"/>
  <c r="W56" i="4"/>
  <c r="X177" i="4"/>
  <c r="X179" i="4" s="1"/>
  <c r="Z177" i="4" s="1" a="1"/>
  <c r="Z177" i="4" s="1"/>
  <c r="W179" i="4"/>
  <c r="X60" i="4"/>
  <c r="X62" i="4" s="1"/>
  <c r="Z60" i="4" s="1" a="1"/>
  <c r="Z60" i="4" s="1"/>
  <c r="W62" i="4"/>
  <c r="X39" i="4"/>
  <c r="X41" i="4" s="1"/>
  <c r="Z39" i="4" s="1" a="1"/>
  <c r="Z39" i="4" s="1"/>
  <c r="W41" i="4"/>
  <c r="W14" i="4"/>
  <c r="X12" i="4"/>
  <c r="X14" i="4" s="1"/>
  <c r="Z12" i="4" s="1" a="1"/>
  <c r="Z12" i="4" s="1"/>
  <c r="W188" i="4"/>
  <c r="X186" i="4"/>
  <c r="X188" i="4" s="1"/>
  <c r="Z186" i="4" s="1" a="1"/>
  <c r="Z186" i="4" s="1"/>
  <c r="W74" i="4"/>
  <c r="X72" i="4"/>
  <c r="X74" i="4" s="1"/>
  <c r="Z72" i="4" s="1" a="1"/>
  <c r="Z72" i="4" s="1"/>
  <c r="X189" i="4"/>
  <c r="X191" i="4" s="1"/>
  <c r="Z189" i="4" s="1" a="1"/>
  <c r="Z189" i="4" s="1"/>
  <c r="W191" i="4"/>
  <c r="D18" i="7" a="1"/>
  <c r="D18" i="7" s="1"/>
  <c r="F26" i="6" a="1"/>
  <c r="F26" i="6" s="1"/>
  <c r="W95" i="4"/>
  <c r="X93" i="4"/>
  <c r="X95" i="4" s="1"/>
  <c r="Z93" i="4" s="1" a="1"/>
  <c r="Z93" i="4" s="1"/>
  <c r="X171" i="4"/>
  <c r="X173" i="4" s="1"/>
  <c r="Z171" i="4" s="1" a="1"/>
  <c r="Z171" i="4" s="1"/>
  <c r="W173" i="4"/>
  <c r="W110" i="4"/>
  <c r="X108" i="4"/>
  <c r="X110" i="4" s="1"/>
  <c r="Z108" i="4" s="1" a="1"/>
  <c r="Z108" i="4" s="1"/>
  <c r="X162" i="4"/>
  <c r="X164" i="4" s="1"/>
  <c r="Z162" i="4" s="1" a="1"/>
  <c r="Z162" i="4" s="1"/>
  <c r="W164" i="4"/>
  <c r="X156" i="4"/>
  <c r="X158" i="4" s="1"/>
  <c r="Z156" i="4" s="1" a="1"/>
  <c r="Z156" i="4" s="1"/>
  <c r="W158" i="4"/>
  <c r="W35" i="4"/>
  <c r="X33" i="4"/>
  <c r="X35" i="4" s="1"/>
  <c r="Z33" i="4" s="1" a="1"/>
  <c r="Z33" i="4" s="1"/>
  <c r="X15" i="4"/>
  <c r="X17" i="4" s="1"/>
  <c r="Z15" i="4" s="1" a="1"/>
  <c r="Z15" i="4" s="1"/>
  <c r="W17" i="4"/>
  <c r="W50" i="4"/>
  <c r="X48" i="4"/>
  <c r="X50" i="4" s="1"/>
  <c r="Z48" i="4" s="1" a="1"/>
  <c r="Z48" i="4" s="1"/>
  <c r="X126" i="4"/>
  <c r="X128" i="4" s="1"/>
  <c r="Z126" i="4" s="1" a="1"/>
  <c r="Z126" i="4" s="1"/>
  <c r="W128" i="4"/>
  <c r="X141" i="4"/>
  <c r="X143" i="4" s="1"/>
  <c r="Z141" i="4" s="1" a="1"/>
  <c r="Z141" i="4" s="1"/>
  <c r="W143" i="4"/>
  <c r="W71" i="4"/>
  <c r="X69" i="4"/>
  <c r="X71" i="4" s="1"/>
  <c r="Z69" i="4" s="1" a="1"/>
  <c r="Z69" i="4" s="1"/>
  <c r="F44" i="6" l="1"/>
</calcChain>
</file>

<file path=xl/sharedStrings.xml><?xml version="1.0" encoding="utf-8"?>
<sst xmlns="http://schemas.openxmlformats.org/spreadsheetml/2006/main" count="676" uniqueCount="231">
  <si>
    <t>DATA NOMINASI SISWA KELAS XII</t>
  </si>
  <si>
    <t>KURIKULUM MERDEKA</t>
  </si>
  <si>
    <t>Kab/Kota</t>
  </si>
  <si>
    <t>:</t>
  </si>
  <si>
    <t>Kabupaten Mojokerto</t>
  </si>
  <si>
    <t>Satuan Pendidikan</t>
  </si>
  <si>
    <t>Alamat/No. Telepon</t>
  </si>
  <si>
    <t>NPSN</t>
  </si>
  <si>
    <t>Bidang Keahlian</t>
  </si>
  <si>
    <t>Program Keahlian</t>
  </si>
  <si>
    <t>Konsentrasi Keahlian</t>
  </si>
  <si>
    <t>Tanggal Kelulusan</t>
  </si>
  <si>
    <t>Nama Kepala Sekolah</t>
  </si>
  <si>
    <t>NIP Kepala Sekolah</t>
  </si>
  <si>
    <t>Nama Pengawas</t>
  </si>
  <si>
    <t>NIP Pengawas</t>
  </si>
  <si>
    <t>Kepala Cabang Dinas</t>
  </si>
  <si>
    <t>Pinky Hidayati, S.Psi., M.Psi.</t>
  </si>
  <si>
    <t>NIP Kepala Cabang Dinas</t>
  </si>
  <si>
    <t>19710101 200012 1 007</t>
  </si>
  <si>
    <t>NO</t>
  </si>
  <si>
    <t>NIS</t>
  </si>
  <si>
    <t>NISN</t>
  </si>
  <si>
    <t>Nama Siswa</t>
  </si>
  <si>
    <t>Kelas</t>
  </si>
  <si>
    <t>Tempat dan Tgl Lahir</t>
  </si>
  <si>
    <t>Alamat rumah</t>
  </si>
  <si>
    <t>L/P</t>
  </si>
  <si>
    <t>Nama Orang Tua</t>
  </si>
  <si>
    <t>Ijazah terakhir</t>
  </si>
  <si>
    <t>Tanda Tangan Siswa</t>
  </si>
  <si>
    <t>Keterangan</t>
  </si>
  <si>
    <t>Asal sekolah</t>
  </si>
  <si>
    <t>No. Ijazah</t>
  </si>
  <si>
    <t>Tahun</t>
  </si>
  <si>
    <t>Mengetahui</t>
  </si>
  <si>
    <t>Mojokerto, 24 Januari 2025</t>
  </si>
  <si>
    <t>Kepala Cabang Dinas Pendidikan</t>
  </si>
  <si>
    <t>Mengetaui</t>
  </si>
  <si>
    <t>Wilayah Kabupaten dan Kota Mojokerto,</t>
  </si>
  <si>
    <t>Pengawas SMK</t>
  </si>
  <si>
    <t>Kepala Sekolah</t>
  </si>
  <si>
    <t>Abadi, S. Pd., M. Pd.</t>
  </si>
  <si>
    <t>NIP 19650427 199512 1 002</t>
  </si>
  <si>
    <t>REKAP DATA NILAI RAPOR TP 2025/2026</t>
  </si>
  <si>
    <t>NAMA</t>
  </si>
  <si>
    <t>KELAS</t>
  </si>
  <si>
    <t>REKAP NILAI RAPOR</t>
  </si>
  <si>
    <t>Pendidikan Agama dan Budi Pekerti</t>
  </si>
  <si>
    <t>Pendidikan Pancasila</t>
  </si>
  <si>
    <t>Bahasa Indonesia</t>
  </si>
  <si>
    <t>Pendidikan Jasmani , Olah Raga dan Kesehatan</t>
  </si>
  <si>
    <t>Sejarah</t>
  </si>
  <si>
    <t>Seni Budaya</t>
  </si>
  <si>
    <t>Muatan Lokal ( Bahasa dan Sastra Jawa)</t>
  </si>
  <si>
    <t>Matematika</t>
  </si>
  <si>
    <t>Bahasa Inggris</t>
  </si>
  <si>
    <t>Informatika</t>
  </si>
  <si>
    <t>Projek Ilmu Pengetahuan Alam dan Sosial</t>
  </si>
  <si>
    <t>Dasar-Dasar Program Keahlian</t>
  </si>
  <si>
    <t>Projek Kreatif dan Kewirausahaan</t>
  </si>
  <si>
    <t>Pratik Kerja Lapangan</t>
  </si>
  <si>
    <t>Mata Pelajaran pilihan</t>
  </si>
  <si>
    <t>IPK</t>
  </si>
  <si>
    <t>SEMESTER</t>
  </si>
  <si>
    <t>Rata-rata</t>
  </si>
  <si>
    <t>NILAI RATA -RATA</t>
  </si>
  <si>
    <t>NILAI MAKSIMUM</t>
  </si>
  <si>
    <t>NILAI MINIMUM</t>
  </si>
  <si>
    <t>REKAPITULASI HASIL PENILAIAN SUMATIF AKHIR JENJANG KELAS XII</t>
  </si>
  <si>
    <t>Nama</t>
  </si>
  <si>
    <t>PA_BP</t>
  </si>
  <si>
    <t>P.PANCA</t>
  </si>
  <si>
    <t>BINA</t>
  </si>
  <si>
    <t>PJOK</t>
  </si>
  <si>
    <t>SEJ</t>
  </si>
  <si>
    <t>SEBUD</t>
  </si>
  <si>
    <t>BADER</t>
  </si>
  <si>
    <t>MAT</t>
  </si>
  <si>
    <t>BING</t>
  </si>
  <si>
    <t>INFOR</t>
  </si>
  <si>
    <t>IPAS</t>
  </si>
  <si>
    <t>DDP</t>
  </si>
  <si>
    <t>UKK</t>
  </si>
  <si>
    <t>PKK</t>
  </si>
  <si>
    <t>PM</t>
  </si>
  <si>
    <t>RATA -RATA</t>
  </si>
  <si>
    <t>MAX</t>
  </si>
  <si>
    <t>MINIMUM</t>
  </si>
  <si>
    <t>STATISTIK NILAI</t>
  </si>
  <si>
    <t>91-100</t>
  </si>
  <si>
    <t>INTERVAL NILAI</t>
  </si>
  <si>
    <t>81-90</t>
  </si>
  <si>
    <t>71-80</t>
  </si>
  <si>
    <t>61-70</t>
  </si>
  <si>
    <t>51-60</t>
  </si>
  <si>
    <t>41-50</t>
  </si>
  <si>
    <t>31-40</t>
  </si>
  <si>
    <t>21-30</t>
  </si>
  <si>
    <t>NILAI MINIMAL</t>
  </si>
  <si>
    <t>NILAI RATA-RATA</t>
  </si>
  <si>
    <t>DAFTAR KUMPULAN NILAI SEKOLAH TINGKAT SMK</t>
  </si>
  <si>
    <t>TAHUN PELAJARAN 2025/2026</t>
  </si>
  <si>
    <t>FORMULA NSP</t>
  </si>
  <si>
    <t>RAPOR</t>
  </si>
  <si>
    <t>PSAJ</t>
  </si>
  <si>
    <t>LEMBAR 1 : Sekolah Pelaksana</t>
  </si>
  <si>
    <t>Nama Sekolah/Status</t>
  </si>
  <si>
    <t>LEMBAR 2 : Pengambilan Blanko Ijazah</t>
  </si>
  <si>
    <t>NSP =</t>
  </si>
  <si>
    <t>Alamat/Nomor Telpon</t>
  </si>
  <si>
    <t>KRETERIA KELULUSAN</t>
  </si>
  <si>
    <t>No. Urut</t>
  </si>
  <si>
    <t>Nama Peserta</t>
  </si>
  <si>
    <t>Mata Pelajaran</t>
  </si>
  <si>
    <t>KELOMPOK MAPEL UMUM</t>
  </si>
  <si>
    <t>KELOMPOK MAPEL KEJURUAN</t>
  </si>
  <si>
    <t>Jumlah</t>
  </si>
  <si>
    <t>Rata-Rata</t>
  </si>
  <si>
    <t>Nilai karakter</t>
  </si>
  <si>
    <t>Ket. (L/TL)</t>
  </si>
  <si>
    <t>NILAI RATA -RATA RAPOR</t>
  </si>
  <si>
    <t>Pend.Agama dan Budi Pekerti</t>
  </si>
  <si>
    <t>B. Indonesia</t>
  </si>
  <si>
    <t>Mulok</t>
  </si>
  <si>
    <t>B. Inggris</t>
  </si>
  <si>
    <t>Projek Ipas</t>
  </si>
  <si>
    <t>Dasar-2 Prog Keahlian</t>
  </si>
  <si>
    <t>Kons Keahlian</t>
  </si>
  <si>
    <t>Praktek kerja Lapangan</t>
  </si>
  <si>
    <t>Mapel Pilihan</t>
  </si>
  <si>
    <t>NILAI MINIMAL PSAJ</t>
  </si>
  <si>
    <t>MINIMAL NILAI RATA RATA NSP</t>
  </si>
  <si>
    <t>Nilai</t>
  </si>
  <si>
    <t>RR</t>
  </si>
  <si>
    <t>NSP</t>
  </si>
  <si>
    <t>1. Setiap lembar hanya berisi 10 peserta didik , kecuali hal 1</t>
  </si>
  <si>
    <t>2. Yang diberi tanda tangan hanya lembar terakhir setiap konsentrasi keahlian</t>
  </si>
  <si>
    <t>3. NSP dihitung berdasarkan Kriteria Kelulusan yang telah ditetapkan sekolah (pembobotan NR dan PSAJ)</t>
  </si>
  <si>
    <t>4. nilai dibulatkan dua angka di belakang koma dengan rentang 1 - 100 , contoh: 75,42</t>
  </si>
  <si>
    <t>5. RR = Nilai rata-rata Raport semester 1-6 ,</t>
  </si>
  <si>
    <t>NILAI TERTINGGI</t>
  </si>
  <si>
    <t>NILAI TERENDAH</t>
  </si>
  <si>
    <t>NILAI RATA - RATA</t>
  </si>
  <si>
    <t>TRANSKRIP NILAI</t>
  </si>
  <si>
    <t>PILIH NO INDUK SISWA</t>
  </si>
  <si>
    <t>NIS/NISN</t>
  </si>
  <si>
    <t>Tempat, Tanggal Lahir</t>
  </si>
  <si>
    <t>MATA PELAJARAN</t>
  </si>
  <si>
    <t>*) N_PSAJ</t>
  </si>
  <si>
    <t>I</t>
  </si>
  <si>
    <t>II</t>
  </si>
  <si>
    <t>III</t>
  </si>
  <si>
    <t>IV</t>
  </si>
  <si>
    <t>V</t>
  </si>
  <si>
    <t>VI</t>
  </si>
  <si>
    <t>A. Kelompok Mata Pelajaran Umum</t>
  </si>
  <si>
    <t>Pendidikan Agama Islam dan Budi Pekerti</t>
  </si>
  <si>
    <t>X</t>
  </si>
  <si>
    <t>Pendidikan Jasmani, Olahraga, dan Kesehatan</t>
  </si>
  <si>
    <t>Seni dan Budaya</t>
  </si>
  <si>
    <t>B. Kelompok Mata Pelajaran Kejuruan</t>
  </si>
  <si>
    <t>Praktik Kerja Lapangan</t>
  </si>
  <si>
    <t>Mata Pelajaran Pilihan (Animasi)</t>
  </si>
  <si>
    <t>C. Muatan Lokal</t>
  </si>
  <si>
    <t>Bahasa dan Sastra jawa</t>
  </si>
  <si>
    <t>*) N_PSAJ (Nilai_ Penilaian Sumatif Akhir Jenjang)</t>
  </si>
  <si>
    <t>SURAT KETERANGAN LULUS (SKL)</t>
  </si>
  <si>
    <t>PROGRAM 3 TAHUN</t>
  </si>
  <si>
    <t>TAHUN AJARAN 2025/2026</t>
  </si>
  <si>
    <t>menerangkan bahwa :</t>
  </si>
  <si>
    <t>Tempat Tanggal Lahir</t>
  </si>
  <si>
    <t>Nomor Induk Siswa</t>
  </si>
  <si>
    <t>Nomor Induk Siswa Nasional</t>
  </si>
  <si>
    <t>dengan nilai sebagai berikut :</t>
  </si>
  <si>
    <t>NILAI</t>
  </si>
  <si>
    <r>
      <rPr>
        <sz val="12"/>
        <color rgb="FF000000"/>
        <rFont val="Calibri, sans-serif"/>
      </rPr>
      <t xml:space="preserve">Surat Keterangan </t>
    </r>
    <r>
      <rPr>
        <b/>
        <sz val="12"/>
        <color rgb="FF000000"/>
        <rFont val="Calibri, sans-serif"/>
      </rPr>
      <t xml:space="preserve">Lulus </t>
    </r>
    <r>
      <rPr>
        <sz val="12"/>
        <color rgb="FF000000"/>
        <rFont val="Calibri, sans-serif"/>
      </rPr>
      <t>ini berlaku sementara sampai dengan diterbitkannya ljazah Tahun Ajaran 2025/2026,</t>
    </r>
  </si>
  <si>
    <t>untuk menjadikan maklum bagi yang berkepentingan.</t>
  </si>
  <si>
    <t>Nomor Pokok Sekolah Nasional</t>
  </si>
  <si>
    <t>Nama Lengkap</t>
  </si>
  <si>
    <t>Nomor Ijazah</t>
  </si>
  <si>
    <t>No</t>
  </si>
  <si>
    <t>Bahasa dan Sastra Jawa</t>
  </si>
  <si>
    <t>SMKS PACET TAHUN AJARAN 2025/2026</t>
  </si>
  <si>
    <t>SMKS PACET</t>
  </si>
  <si>
    <t>Jl. Raya Pacet-Trawas No. 21, Ds. Pacet,Kec. Pacet,Kab. Mojokerto</t>
  </si>
  <si>
    <t>04 Mei 2026</t>
  </si>
  <si>
    <t>Moh Junaedi Hartanto, S.Pd</t>
  </si>
  <si>
    <t>-</t>
  </si>
  <si>
    <t>Arini Hidayati, S.Pd., M.Pd</t>
  </si>
  <si>
    <t>19761212 199802 2001</t>
  </si>
  <si>
    <t>Teknologi Manufaktur dan Rekayasa</t>
  </si>
  <si>
    <t>Tenik Otomotif</t>
  </si>
  <si>
    <t>Teknik Kendaraan Ringan</t>
  </si>
  <si>
    <t>1622/962.40</t>
  </si>
  <si>
    <t>1624/964.40</t>
  </si>
  <si>
    <t>L</t>
  </si>
  <si>
    <t>Nomor: 27.01/360/406.114.432/smk pct/2026</t>
  </si>
  <si>
    <t>ABIL QOSHIM HAMDI</t>
  </si>
  <si>
    <t>AHMA SELGI NUR SA'BAN</t>
  </si>
  <si>
    <t>AHMAD ISOMUDDIN KHADIIQ</t>
  </si>
  <si>
    <t>AHMAD VERNANDO ZAKARIA</t>
  </si>
  <si>
    <t>ALVAREZA SETIA ANGGARA</t>
  </si>
  <si>
    <t>ARSYAD ADITIA WIYONO</t>
  </si>
  <si>
    <t>AULIYA ROHMAN AL BAIHAQI</t>
  </si>
  <si>
    <t>AZIZUL HILMI FIRDAUS</t>
  </si>
  <si>
    <t>DENILSEN ZAUSA OCTAVIANUS HERMANTO</t>
  </si>
  <si>
    <t>FAJAR MAS'UD ALAMSYAH</t>
  </si>
  <si>
    <t>JEFRI ALIF SUHENDRIK</t>
  </si>
  <si>
    <t>KRISNA DWI PUTRA</t>
  </si>
  <si>
    <t>MARCELO JONAS NATRA ARSYAFIN</t>
  </si>
  <si>
    <t>MOCHAMAD DWI ADISATRIO</t>
  </si>
  <si>
    <t>MOHAMMAD BAMBANG SUBANDI</t>
  </si>
  <si>
    <t>MOHAMMAD ILHAM ABDULLOH</t>
  </si>
  <si>
    <t>MUHAMAD IQBAL LUCKY SAPUTRA</t>
  </si>
  <si>
    <t>MUHAMMAD ARDIAN CAHYA PRADANA</t>
  </si>
  <si>
    <t>MUHAMMAD MA'RUF ADI NUGRAHA</t>
  </si>
  <si>
    <t>MUHAMMAD RIDHO MAULUDDIN</t>
  </si>
  <si>
    <t>MUKHAMMAD ILHAM WIDIANTO</t>
  </si>
  <si>
    <t>PANDU WAHYUDA ARIS HERMAWAN</t>
  </si>
  <si>
    <t>PUTRA DWI REVANO</t>
  </si>
  <si>
    <t>RAFA ARDIANSYAH</t>
  </si>
  <si>
    <t>RAGIL ROSYID NUR RIDHO</t>
  </si>
  <si>
    <t>RANGGA SAHPUTRA ADI PRATAMA</t>
  </si>
  <si>
    <t>RIFQI AL GHIFFARI ZAIDAN ZUHDI</t>
  </si>
  <si>
    <t>SAPUTRA DWI ERLANGGA</t>
  </si>
  <si>
    <t>SHANDY SETYA PRAYOGA</t>
  </si>
  <si>
    <t>TIO ANDIKA EKO SAPUTRA</t>
  </si>
  <si>
    <t>WIBHY EVAN RAMADHAN</t>
  </si>
  <si>
    <t>ZAKKI FAJAR ANANTA</t>
  </si>
  <si>
    <t>X TKR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</si>
</sst>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7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rgb="FFFFFFFF"/>
      <name val="Poppins"/>
    </font>
    <font>
      <sz val="10"/>
      <color theme="1"/>
      <name val="Arial"/>
    </font>
    <font>
      <sz val="11"/>
      <color theme="1"/>
      <name val="Calibri"/>
    </font>
    <font>
      <sz val="11"/>
      <color rgb="FFFFFFFF"/>
      <name val="Arial"/>
    </font>
    <font>
      <b/>
      <sz val="11"/>
      <color rgb="FFFFFFFF"/>
      <name val="Arial"/>
    </font>
    <font>
      <b/>
      <sz val="11"/>
      <color rgb="FFFFFFFF"/>
      <name val="Arial Narrow"/>
    </font>
    <font>
      <sz val="10"/>
      <color theme="1"/>
      <name val="Calibri"/>
    </font>
    <font>
      <sz val="11"/>
      <color theme="1"/>
      <name val="Arial Narrow"/>
    </font>
    <font>
      <b/>
      <u/>
      <sz val="10"/>
      <color theme="1"/>
      <name val="Calibri"/>
    </font>
    <font>
      <b/>
      <sz val="12"/>
      <color rgb="FFFFFFFF"/>
      <name val="Calibri"/>
    </font>
    <font>
      <sz val="12"/>
      <color rgb="FFFFFFFF"/>
      <name val="Calibri"/>
    </font>
    <font>
      <sz val="11"/>
      <color rgb="FFFFFFFF"/>
      <name val="Calibri"/>
    </font>
    <font>
      <sz val="10"/>
      <color rgb="FFFFFFFF"/>
      <name val="Arial"/>
    </font>
    <font>
      <b/>
      <sz val="14"/>
      <color rgb="FFFFFFFF"/>
      <name val="Calibri"/>
    </font>
    <font>
      <sz val="10"/>
      <color theme="1"/>
      <name val="Arial"/>
      <scheme val="minor"/>
    </font>
    <font>
      <b/>
      <sz val="14"/>
      <color theme="1"/>
      <name val="Arial"/>
    </font>
    <font>
      <sz val="11"/>
      <color rgb="FF000000"/>
      <name val="Calibri"/>
    </font>
    <font>
      <b/>
      <sz val="12"/>
      <color theme="1"/>
      <name val="Arial"/>
    </font>
    <font>
      <b/>
      <sz val="12"/>
      <color rgb="FFFF0000"/>
      <name val="Arial"/>
    </font>
    <font>
      <b/>
      <sz val="12"/>
      <color theme="1"/>
      <name val="Calibri"/>
    </font>
    <font>
      <b/>
      <sz val="12"/>
      <color rgb="FF000000"/>
      <name val="Calibri"/>
    </font>
    <font>
      <b/>
      <sz val="12"/>
      <color rgb="FFFFFFFF"/>
      <name val="Arial"/>
    </font>
    <font>
      <sz val="10"/>
      <name val="Arial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4"/>
      <color rgb="FF000000"/>
      <name val="Calibri"/>
    </font>
    <font>
      <b/>
      <sz val="12"/>
      <color rgb="FF000000"/>
      <name val="Tahoma"/>
    </font>
    <font>
      <sz val="10"/>
      <color rgb="FF000000"/>
      <name val="Calibri"/>
    </font>
    <font>
      <b/>
      <sz val="10"/>
      <color rgb="FF000000"/>
      <name val="Calibri"/>
    </font>
    <font>
      <b/>
      <sz val="11"/>
      <color theme="1"/>
      <name val="Calibri"/>
    </font>
    <font>
      <sz val="10"/>
      <color theme="1"/>
      <name val="Tahoma"/>
    </font>
    <font>
      <sz val="9"/>
      <color rgb="FF000000"/>
      <name val="Tahoma"/>
    </font>
    <font>
      <sz val="9"/>
      <color theme="1"/>
      <name val="Tahoma"/>
    </font>
    <font>
      <b/>
      <sz val="9"/>
      <color rgb="FFFFFFFF"/>
      <name val="Calibri"/>
    </font>
    <font>
      <b/>
      <sz val="8"/>
      <color rgb="FFFFFFFF"/>
      <name val="Calibri"/>
    </font>
    <font>
      <b/>
      <sz val="11"/>
      <color rgb="FF000000"/>
      <name val="Calibri"/>
    </font>
    <font>
      <b/>
      <sz val="11"/>
      <color rgb="FF000000"/>
      <name val="Arial"/>
    </font>
    <font>
      <sz val="10"/>
      <color rgb="FF000000"/>
      <name val="Calibri"/>
    </font>
    <font>
      <b/>
      <sz val="9"/>
      <color rgb="FF000000"/>
      <name val="Tahoma"/>
    </font>
    <font>
      <sz val="11"/>
      <color rgb="FF000000"/>
      <name val="&quot;Arial Narrow&quot;"/>
    </font>
    <font>
      <u/>
      <sz val="11"/>
      <color rgb="FF000000"/>
      <name val="&quot;Arial Narrow&quot;"/>
    </font>
    <font>
      <b/>
      <u/>
      <sz val="10"/>
      <color rgb="FF000000"/>
      <name val="Calibri"/>
    </font>
    <font>
      <b/>
      <u/>
      <sz val="11"/>
      <color rgb="FF000000"/>
      <name val="&quot;Arial Narrow&quot;"/>
    </font>
    <font>
      <b/>
      <u/>
      <sz val="10"/>
      <color rgb="FF000000"/>
      <name val="Calibri"/>
    </font>
    <font>
      <i/>
      <sz val="9"/>
      <color rgb="FF000000"/>
      <name val="Tahoma"/>
    </font>
    <font>
      <sz val="11"/>
      <color rgb="FF000000"/>
      <name val="Tahoma"/>
    </font>
    <font>
      <sz val="12"/>
      <color rgb="FF000000"/>
      <name val="Calibri"/>
    </font>
    <font>
      <b/>
      <sz val="12"/>
      <color rgb="FF000000"/>
      <name val="Arial"/>
    </font>
    <font>
      <b/>
      <sz val="14"/>
      <color rgb="FF000000"/>
      <name val="&quot;Arial Black&quot;"/>
    </font>
    <font>
      <b/>
      <i/>
      <sz val="12"/>
      <color rgb="FF000000"/>
      <name val="Calibri"/>
    </font>
    <font>
      <sz val="11"/>
      <color rgb="FF000000"/>
      <name val="Arial"/>
    </font>
    <font>
      <b/>
      <u/>
      <sz val="11"/>
      <color rgb="FF000000"/>
      <name val="Arial"/>
    </font>
    <font>
      <b/>
      <sz val="16"/>
      <color rgb="FFFFFFFF"/>
      <name val="&quot;Arial Black&quot;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sz val="16"/>
      <color rgb="FF000000"/>
      <name val="Calibri"/>
    </font>
    <font>
      <b/>
      <u/>
      <sz val="11"/>
      <color rgb="FF000000"/>
      <name val="Calibri"/>
    </font>
    <font>
      <sz val="12"/>
      <color rgb="FF000000"/>
      <name val="Calibri, sans-serif"/>
    </font>
    <font>
      <b/>
      <sz val="12"/>
      <color rgb="FF000000"/>
      <name val="Calibri, sans-serif"/>
    </font>
    <font>
      <sz val="12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434343"/>
      <name val="Roboto"/>
    </font>
    <font>
      <sz val="11"/>
      <name val="Calibri"/>
      <family val="2"/>
    </font>
    <font>
      <sz val="12"/>
      <name val="Calibri, sans-serif"/>
    </font>
    <font>
      <sz val="10"/>
      <name val="Arial"/>
      <family val="2"/>
      <scheme val="minor"/>
    </font>
    <font>
      <sz val="12"/>
      <color theme="1"/>
      <name val="Arial Narrow"/>
    </font>
  </fonts>
  <fills count="21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8" fillId="0" borderId="0" applyBorder="0">
      <alignment vertical="center"/>
    </xf>
  </cellStyleXfs>
  <cellXfs count="21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0" xfId="0" applyFont="1" applyFill="1"/>
    <xf numFmtId="0" fontId="9" fillId="5" borderId="0" xfId="0" applyFont="1" applyFill="1"/>
    <xf numFmtId="0" fontId="3" fillId="5" borderId="0" xfId="0" applyFont="1" applyFill="1"/>
    <xf numFmtId="0" fontId="9" fillId="5" borderId="0" xfId="0" applyFont="1" applyFill="1" applyAlignment="1">
      <alignment horizontal="center"/>
    </xf>
    <xf numFmtId="0" fontId="8" fillId="0" borderId="0" xfId="0" applyFont="1"/>
    <xf numFmtId="0" fontId="10" fillId="0" borderId="0" xfId="0" applyFont="1"/>
    <xf numFmtId="0" fontId="3" fillId="6" borderId="0" xfId="0" applyFont="1" applyFill="1"/>
    <xf numFmtId="0" fontId="11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6" borderId="0" xfId="0" applyFont="1" applyFill="1"/>
    <xf numFmtId="4" fontId="4" fillId="6" borderId="0" xfId="0" applyNumberFormat="1" applyFont="1" applyFill="1" applyAlignment="1">
      <alignment horizontal="center"/>
    </xf>
    <xf numFmtId="4" fontId="13" fillId="2" borderId="0" xfId="0" applyNumberFormat="1" applyFont="1" applyFill="1" applyAlignment="1">
      <alignment horizontal="center"/>
    </xf>
    <xf numFmtId="4" fontId="13" fillId="7" borderId="0" xfId="0" applyNumberFormat="1" applyFont="1" applyFill="1" applyAlignment="1">
      <alignment horizontal="center"/>
    </xf>
    <xf numFmtId="4" fontId="3" fillId="6" borderId="0" xfId="0" applyNumberFormat="1" applyFont="1" applyFill="1" applyAlignment="1">
      <alignment horizontal="center"/>
    </xf>
    <xf numFmtId="4" fontId="14" fillId="2" borderId="0" xfId="0" applyNumberFormat="1" applyFont="1" applyFill="1" applyAlignment="1">
      <alignment horizontal="center"/>
    </xf>
    <xf numFmtId="4" fontId="15" fillId="4" borderId="0" xfId="0" applyNumberFormat="1" applyFont="1" applyFill="1" applyAlignment="1">
      <alignment horizontal="center"/>
    </xf>
    <xf numFmtId="4" fontId="16" fillId="0" borderId="0" xfId="0" applyNumberFormat="1" applyFont="1"/>
    <xf numFmtId="0" fontId="2" fillId="6" borderId="0" xfId="0" applyFont="1" applyFill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19" fillId="3" borderId="0" xfId="0" applyFont="1" applyFill="1" applyAlignment="1">
      <alignment horizontal="left"/>
    </xf>
    <xf numFmtId="0" fontId="20" fillId="3" borderId="0" xfId="0" applyFont="1" applyFill="1" applyAlignment="1">
      <alignment horizontal="center"/>
    </xf>
    <xf numFmtId="0" fontId="21" fillId="3" borderId="0" xfId="0" applyFont="1" applyFill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4" fontId="25" fillId="4" borderId="0" xfId="0" applyNumberFormat="1" applyFont="1" applyFill="1" applyAlignment="1">
      <alignment horizontal="center"/>
    </xf>
    <xf numFmtId="0" fontId="27" fillId="10" borderId="0" xfId="0" applyFont="1" applyFill="1" applyAlignment="1">
      <alignment horizontal="center" vertical="center"/>
    </xf>
    <xf numFmtId="3" fontId="27" fillId="10" borderId="0" xfId="0" applyNumberFormat="1" applyFont="1" applyFill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3" fontId="27" fillId="11" borderId="0" xfId="0" applyNumberFormat="1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3" fontId="27" fillId="12" borderId="0" xfId="0" applyNumberFormat="1" applyFont="1" applyFill="1" applyAlignment="1">
      <alignment horizontal="center" vertical="center"/>
    </xf>
    <xf numFmtId="164" fontId="27" fillId="12" borderId="0" xfId="0" applyNumberFormat="1" applyFont="1" applyFill="1" applyAlignment="1">
      <alignment horizontal="center" vertical="center"/>
    </xf>
    <xf numFmtId="4" fontId="22" fillId="13" borderId="0" xfId="0" applyNumberFormat="1" applyFont="1" applyFill="1" applyAlignment="1">
      <alignment horizontal="center" vertical="center"/>
    </xf>
    <xf numFmtId="0" fontId="18" fillId="0" borderId="0" xfId="0" applyFont="1"/>
    <xf numFmtId="0" fontId="18" fillId="6" borderId="0" xfId="0" applyFont="1" applyFill="1"/>
    <xf numFmtId="0" fontId="30" fillId="11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2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0" fontId="30" fillId="1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4" fillId="0" borderId="0" xfId="0" applyFont="1" applyAlignment="1">
      <alignment horizontal="left"/>
    </xf>
    <xf numFmtId="0" fontId="25" fillId="2" borderId="0" xfId="0" applyFont="1" applyFill="1" applyAlignment="1">
      <alignment vertical="center"/>
    </xf>
    <xf numFmtId="0" fontId="37" fillId="12" borderId="0" xfId="0" applyFont="1" applyFill="1" applyAlignment="1">
      <alignment horizontal="center" vertical="center"/>
    </xf>
    <xf numFmtId="0" fontId="38" fillId="14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left" vertical="center"/>
    </xf>
    <xf numFmtId="0" fontId="39" fillId="0" borderId="0" xfId="0" applyFont="1" applyAlignment="1">
      <alignment horizontal="center"/>
    </xf>
    <xf numFmtId="4" fontId="33" fillId="0" borderId="0" xfId="0" applyNumberFormat="1" applyFont="1" applyAlignment="1">
      <alignment horizontal="center" vertical="center"/>
    </xf>
    <xf numFmtId="0" fontId="40" fillId="6" borderId="0" xfId="0" applyFont="1" applyFill="1" applyAlignment="1">
      <alignment horizontal="center" vertical="center"/>
    </xf>
    <xf numFmtId="0" fontId="33" fillId="6" borderId="0" xfId="0" applyFont="1" applyFill="1" applyAlignment="1">
      <alignment horizontal="center" vertical="center"/>
    </xf>
    <xf numFmtId="0" fontId="39" fillId="6" borderId="0" xfId="0" applyFont="1" applyFill="1" applyAlignment="1">
      <alignment horizontal="center"/>
    </xf>
    <xf numFmtId="4" fontId="33" fillId="6" borderId="0" xfId="0" applyNumberFormat="1" applyFont="1" applyFill="1" applyAlignment="1">
      <alignment horizontal="center" vertical="center"/>
    </xf>
    <xf numFmtId="4" fontId="18" fillId="6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37" fillId="15" borderId="0" xfId="0" applyFont="1" applyFill="1" applyAlignment="1">
      <alignment horizontal="center"/>
    </xf>
    <xf numFmtId="4" fontId="37" fillId="15" borderId="0" xfId="0" applyNumberFormat="1" applyFont="1" applyFill="1" applyAlignment="1">
      <alignment horizontal="center"/>
    </xf>
    <xf numFmtId="4" fontId="37" fillId="6" borderId="0" xfId="0" applyNumberFormat="1" applyFont="1" applyFill="1" applyAlignment="1">
      <alignment horizontal="center"/>
    </xf>
    <xf numFmtId="0" fontId="37" fillId="16" borderId="0" xfId="0" applyFont="1" applyFill="1" applyAlignment="1">
      <alignment horizontal="center"/>
    </xf>
    <xf numFmtId="4" fontId="37" fillId="16" borderId="0" xfId="0" applyNumberFormat="1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7" fillId="17" borderId="0" xfId="0" applyFont="1" applyFill="1" applyAlignment="1">
      <alignment horizontal="center"/>
    </xf>
    <xf numFmtId="4" fontId="37" fillId="17" borderId="0" xfId="0" applyNumberFormat="1" applyFont="1" applyFill="1" applyAlignment="1">
      <alignment horizontal="center"/>
    </xf>
    <xf numFmtId="0" fontId="47" fillId="17" borderId="0" xfId="0" applyFont="1" applyFill="1" applyAlignment="1">
      <alignment horizontal="center"/>
    </xf>
    <xf numFmtId="0" fontId="47" fillId="6" borderId="0" xfId="0" applyFont="1" applyFill="1" applyAlignment="1">
      <alignment horizontal="center"/>
    </xf>
    <xf numFmtId="0" fontId="16" fillId="0" borderId="0" xfId="0" applyFont="1"/>
    <xf numFmtId="0" fontId="48" fillId="0" borderId="0" xfId="0" applyFont="1"/>
    <xf numFmtId="49" fontId="50" fillId="8" borderId="0" xfId="0" applyNumberFormat="1" applyFont="1" applyFill="1" applyAlignment="1">
      <alignment horizontal="center" vertical="center"/>
    </xf>
    <xf numFmtId="0" fontId="51" fillId="18" borderId="0" xfId="0" applyFont="1" applyFill="1" applyAlignment="1">
      <alignment horizontal="center" vertical="center"/>
    </xf>
    <xf numFmtId="0" fontId="48" fillId="0" borderId="0" xfId="0" applyFont="1" applyAlignment="1">
      <alignment vertical="top"/>
    </xf>
    <xf numFmtId="0" fontId="48" fillId="0" borderId="0" xfId="0" applyFont="1" applyAlignment="1">
      <alignment horizontal="left" vertical="top"/>
    </xf>
    <xf numFmtId="0" fontId="51" fillId="6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1" fillId="3" borderId="0" xfId="0" applyFont="1" applyFill="1"/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left"/>
    </xf>
    <xf numFmtId="4" fontId="18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5" fillId="4" borderId="0" xfId="0" applyFont="1" applyFill="1"/>
    <xf numFmtId="0" fontId="12" fillId="4" borderId="0" xfId="0" applyFont="1" applyFill="1"/>
    <xf numFmtId="0" fontId="52" fillId="0" borderId="0" xfId="0" applyFont="1"/>
    <xf numFmtId="0" fontId="22" fillId="0" borderId="0" xfId="0" applyFont="1" applyAlignment="1">
      <alignment horizontal="center"/>
    </xf>
    <xf numFmtId="0" fontId="11" fillId="3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48" fillId="0" borderId="0" xfId="0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4" fontId="15" fillId="4" borderId="0" xfId="0" applyNumberFormat="1" applyFont="1" applyFill="1" applyAlignment="1">
      <alignment horizontal="center" vertical="center"/>
    </xf>
    <xf numFmtId="0" fontId="55" fillId="0" borderId="0" xfId="0" applyFont="1"/>
    <xf numFmtId="0" fontId="56" fillId="0" borderId="0" xfId="0" applyFont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61" fillId="0" borderId="0" xfId="0" applyFont="1" applyAlignment="1">
      <alignment horizontal="left"/>
    </xf>
    <xf numFmtId="0" fontId="63" fillId="0" borderId="0" xfId="0" applyFont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64" fillId="0" borderId="4" xfId="0" applyFont="1" applyBorder="1" applyAlignment="1">
      <alignment vertical="center"/>
    </xf>
    <xf numFmtId="0" fontId="62" fillId="0" borderId="4" xfId="0" applyFont="1" applyBorder="1"/>
    <xf numFmtId="0" fontId="65" fillId="0" borderId="4" xfId="0" applyFont="1" applyBorder="1" applyAlignment="1">
      <alignment vertical="center" shrinkToFit="1"/>
    </xf>
    <xf numFmtId="0" fontId="66" fillId="0" borderId="6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8" fillId="5" borderId="4" xfId="0" applyFon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67" fillId="19" borderId="7" xfId="0" applyFont="1" applyFill="1" applyBorder="1" applyAlignment="1">
      <alignment vertical="center" wrapText="1"/>
    </xf>
    <xf numFmtId="0" fontId="67" fillId="19" borderId="8" xfId="0" applyFont="1" applyFill="1" applyBorder="1" applyAlignment="1">
      <alignment vertical="center" wrapText="1"/>
    </xf>
    <xf numFmtId="0" fontId="67" fillId="19" borderId="9" xfId="0" applyFont="1" applyFill="1" applyBorder="1" applyAlignment="1">
      <alignment horizontal="right" vertical="center" wrapText="1"/>
    </xf>
    <xf numFmtId="0" fontId="67" fillId="20" borderId="10" xfId="0" applyFont="1" applyFill="1" applyBorder="1" applyAlignment="1">
      <alignment vertical="center" wrapText="1"/>
    </xf>
    <xf numFmtId="0" fontId="67" fillId="20" borderId="11" xfId="0" applyFont="1" applyFill="1" applyBorder="1" applyAlignment="1">
      <alignment vertical="center" wrapText="1"/>
    </xf>
    <xf numFmtId="0" fontId="67" fillId="20" borderId="12" xfId="0" applyFont="1" applyFill="1" applyBorder="1" applyAlignment="1">
      <alignment horizontal="right" vertical="center" wrapText="1"/>
    </xf>
    <xf numFmtId="0" fontId="67" fillId="19" borderId="13" xfId="0" applyFont="1" applyFill="1" applyBorder="1" applyAlignment="1">
      <alignment vertical="center" wrapText="1"/>
    </xf>
    <xf numFmtId="0" fontId="67" fillId="19" borderId="12" xfId="0" applyFont="1" applyFill="1" applyBorder="1" applyAlignment="1">
      <alignment horizontal="right" vertical="center" wrapText="1"/>
    </xf>
    <xf numFmtId="0" fontId="67" fillId="19" borderId="14" xfId="0" applyFont="1" applyFill="1" applyBorder="1" applyAlignment="1">
      <alignment horizontal="left" vertical="center" wrapText="1"/>
    </xf>
    <xf numFmtId="0" fontId="66" fillId="0" borderId="0" xfId="0" applyFont="1" applyAlignment="1">
      <alignment vertical="top"/>
    </xf>
    <xf numFmtId="0" fontId="66" fillId="0" borderId="0" xfId="0" applyFont="1" applyAlignment="1">
      <alignment horizontal="left" vertical="top"/>
    </xf>
    <xf numFmtId="0" fontId="48" fillId="0" borderId="0" xfId="0" applyFont="1"/>
    <xf numFmtId="0" fontId="0" fillId="0" borderId="0" xfId="0"/>
    <xf numFmtId="0" fontId="18" fillId="0" borderId="0" xfId="0" applyFont="1"/>
    <xf numFmtId="0" fontId="58" fillId="0" borderId="0" xfId="0" applyFont="1"/>
    <xf numFmtId="0" fontId="48" fillId="0" borderId="0" xfId="0" applyFont="1" applyAlignment="1">
      <alignment horizontal="left"/>
    </xf>
    <xf numFmtId="0" fontId="11" fillId="2" borderId="0" xfId="0" applyFont="1" applyFill="1" applyAlignment="1">
      <alignment horizontal="center" vertical="center"/>
    </xf>
    <xf numFmtId="0" fontId="48" fillId="3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9" fillId="0" borderId="0" xfId="0" applyFont="1" applyAlignment="1">
      <alignment horizontal="center"/>
    </xf>
    <xf numFmtId="0" fontId="70" fillId="0" borderId="0" xfId="0" applyFont="1"/>
    <xf numFmtId="0" fontId="4" fillId="0" borderId="0" xfId="0" applyFont="1"/>
    <xf numFmtId="0" fontId="10" fillId="0" borderId="0" xfId="0" applyFont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3" fillId="0" borderId="0" xfId="0" applyFont="1"/>
    <xf numFmtId="0" fontId="15" fillId="9" borderId="0" xfId="0" applyFont="1" applyFill="1" applyAlignment="1">
      <alignment horizontal="right"/>
    </xf>
    <xf numFmtId="0" fontId="2" fillId="2" borderId="0" xfId="0" applyFont="1" applyFill="1"/>
    <xf numFmtId="0" fontId="11" fillId="2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23" fillId="2" borderId="1" xfId="0" applyFont="1" applyFill="1" applyBorder="1" applyAlignment="1">
      <alignment horizontal="center" vertical="center"/>
    </xf>
    <xf numFmtId="0" fontId="24" fillId="0" borderId="2" xfId="0" applyFont="1" applyBorder="1"/>
    <xf numFmtId="0" fontId="24" fillId="0" borderId="3" xfId="0" applyFont="1" applyBorder="1"/>
    <xf numFmtId="0" fontId="11" fillId="2" borderId="1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textRotation="90"/>
    </xf>
    <xf numFmtId="0" fontId="15" fillId="2" borderId="0" xfId="0" applyFont="1" applyFill="1" applyAlignment="1">
      <alignment horizontal="center" vertical="center" textRotation="90"/>
    </xf>
    <xf numFmtId="0" fontId="15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center" vertical="center" textRotation="90" wrapText="1"/>
    </xf>
    <xf numFmtId="0" fontId="30" fillId="13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12" borderId="0" xfId="0" applyFont="1" applyFill="1" applyAlignment="1">
      <alignment horizontal="center" vertical="center"/>
    </xf>
    <xf numFmtId="0" fontId="31" fillId="0" borderId="0" xfId="0" applyFont="1"/>
    <xf numFmtId="0" fontId="32" fillId="0" borderId="0" xfId="0" applyFont="1"/>
    <xf numFmtId="0" fontId="4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46" fillId="0" borderId="0" xfId="0" applyFont="1"/>
    <xf numFmtId="0" fontId="40" fillId="15" borderId="0" xfId="0" applyFont="1" applyFill="1" applyAlignment="1">
      <alignment horizontal="right" vertical="center"/>
    </xf>
    <xf numFmtId="0" fontId="40" fillId="16" borderId="0" xfId="0" applyFont="1" applyFill="1" applyAlignment="1">
      <alignment horizontal="right" vertical="center"/>
    </xf>
    <xf numFmtId="0" fontId="40" fillId="17" borderId="0" xfId="0" applyFont="1" applyFill="1" applyAlignment="1">
      <alignment horizontal="right" vertical="center"/>
    </xf>
    <xf numFmtId="0" fontId="36" fillId="14" borderId="0" xfId="0" applyFont="1" applyFill="1" applyAlignment="1">
      <alignment horizontal="center" vertical="center" textRotation="90" wrapText="1"/>
    </xf>
    <xf numFmtId="0" fontId="29" fillId="0" borderId="0" xfId="0" applyFont="1" applyAlignment="1">
      <alignment horizontal="left"/>
    </xf>
    <xf numFmtId="0" fontId="6" fillId="2" borderId="0" xfId="0" applyFont="1" applyFill="1" applyAlignment="1">
      <alignment horizontal="center" vertical="center" textRotation="90" wrapText="1"/>
    </xf>
    <xf numFmtId="0" fontId="45" fillId="0" borderId="0" xfId="0" applyFont="1" applyAlignment="1">
      <alignment horizontal="left"/>
    </xf>
    <xf numFmtId="0" fontId="43" fillId="0" borderId="0" xfId="0" applyFont="1"/>
    <xf numFmtId="0" fontId="53" fillId="0" borderId="0" xfId="0" applyFont="1"/>
    <xf numFmtId="0" fontId="52" fillId="0" borderId="0" xfId="0" applyFont="1"/>
    <xf numFmtId="0" fontId="11" fillId="4" borderId="0" xfId="0" applyFont="1" applyFill="1"/>
    <xf numFmtId="0" fontId="18" fillId="0" borderId="0" xfId="0" applyFont="1" applyAlignment="1">
      <alignment horizontal="left" vertical="top"/>
    </xf>
    <xf numFmtId="0" fontId="48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49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right" vertical="center"/>
    </xf>
    <xf numFmtId="0" fontId="54" fillId="6" borderId="0" xfId="0" applyFont="1" applyFill="1" applyAlignment="1">
      <alignment horizontal="center"/>
    </xf>
    <xf numFmtId="0" fontId="22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71" fillId="0" borderId="15" xfId="0" applyFont="1" applyBorder="1"/>
    <xf numFmtId="0" fontId="71" fillId="0" borderId="2" xfId="0" applyFont="1" applyBorder="1"/>
  </cellXfs>
  <cellStyles count="2">
    <cellStyle name="Normal" xfId="0" builtinId="0"/>
    <cellStyle name="Normal 17" xfId="1" xr:uid="{22818AC8-E9FB-42C5-991A-A161B0B8747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0</xdr:rowOff>
    </xdr:from>
    <xdr:to>
      <xdr:col>10</xdr:col>
      <xdr:colOff>492125</xdr:colOff>
      <xdr:row>0</xdr:row>
      <xdr:rowOff>1600200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E344DC-2039-F54A-2A58-9E7C7060C5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0"/>
          <a:ext cx="6924675" cy="160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6</xdr:col>
      <xdr:colOff>1079500</xdr:colOff>
      <xdr:row>0</xdr:row>
      <xdr:rowOff>1651000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29B2C4-CB44-4172-8820-B3310A660BE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0"/>
          <a:ext cx="6965950" cy="165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1587500</xdr:colOff>
      <xdr:row>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4752F3-49B7-49AA-9BEA-12F11EE9C9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6146799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0000"/>
    <outlinePr summaryBelow="0" summaryRight="0"/>
  </sheetPr>
  <dimension ref="A1:AA78"/>
  <sheetViews>
    <sheetView topLeftCell="A17" workbookViewId="0">
      <pane xSplit="4" ySplit="7" topLeftCell="E24" activePane="bottomRight" state="frozen"/>
      <selection activeCell="A17" sqref="A17"/>
      <selection pane="topRight" activeCell="E17" sqref="E17"/>
      <selection pane="bottomLeft" activeCell="A24" sqref="A24"/>
      <selection pane="bottomRight" activeCell="E24" sqref="E24"/>
    </sheetView>
  </sheetViews>
  <sheetFormatPr defaultColWidth="12.6328125" defaultRowHeight="15.75" customHeight="1"/>
  <cols>
    <col min="4" max="4" width="37.90625" customWidth="1"/>
    <col min="5" max="5" width="12.453125" customWidth="1"/>
    <col min="6" max="6" width="25.453125" customWidth="1"/>
    <col min="7" max="7" width="71.7265625" customWidth="1"/>
    <col min="8" max="8" width="8.453125" customWidth="1"/>
    <col min="9" max="9" width="24" customWidth="1"/>
    <col min="10" max="10" width="19.7265625" customWidth="1"/>
    <col min="11" max="11" width="29.36328125" customWidth="1"/>
    <col min="13" max="13" width="19.90625" customWidth="1"/>
    <col min="14" max="14" width="21.6328125" customWidth="1"/>
  </cols>
  <sheetData>
    <row r="1" spans="1:27" ht="27.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7.5">
      <c r="A2" s="1" t="s">
        <v>183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7.5">
      <c r="A3" s="1" t="s">
        <v>1</v>
      </c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9.75" customHeight="1">
      <c r="A4" s="4"/>
      <c r="B4" s="4"/>
      <c r="C4" s="4"/>
      <c r="D4" s="4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4.5">
      <c r="A6" s="160" t="s">
        <v>2</v>
      </c>
      <c r="B6" s="150"/>
      <c r="C6" s="5" t="s">
        <v>3</v>
      </c>
      <c r="D6" s="5" t="s">
        <v>4</v>
      </c>
      <c r="E6" s="5"/>
      <c r="F6" s="5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5">
      <c r="A7" s="160" t="s">
        <v>5</v>
      </c>
      <c r="B7" s="150"/>
      <c r="C7" s="5" t="s">
        <v>3</v>
      </c>
      <c r="D7" s="5" t="s">
        <v>184</v>
      </c>
      <c r="E7" s="5"/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4.5">
      <c r="A8" s="5" t="s">
        <v>6</v>
      </c>
      <c r="B8" s="5"/>
      <c r="C8" s="5" t="s">
        <v>3</v>
      </c>
      <c r="D8" s="164" t="s">
        <v>185</v>
      </c>
      <c r="E8" s="150"/>
      <c r="F8" s="150"/>
      <c r="G8" s="15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5">
      <c r="A9" s="5" t="s">
        <v>7</v>
      </c>
      <c r="B9" s="5"/>
      <c r="C9" s="5" t="s">
        <v>3</v>
      </c>
      <c r="D9" s="122">
        <v>20549437</v>
      </c>
      <c r="E9" s="5"/>
      <c r="F9" s="5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4.5">
      <c r="A10" s="160" t="s">
        <v>8</v>
      </c>
      <c r="B10" s="150"/>
      <c r="C10" s="5" t="s">
        <v>3</v>
      </c>
      <c r="D10" s="5" t="s">
        <v>191</v>
      </c>
      <c r="E10" s="5"/>
      <c r="F10" s="5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4.5">
      <c r="A11" s="160" t="s">
        <v>9</v>
      </c>
      <c r="B11" s="150"/>
      <c r="C11" s="5" t="s">
        <v>3</v>
      </c>
      <c r="D11" s="123" t="s">
        <v>192</v>
      </c>
      <c r="E11" s="5"/>
      <c r="F11" s="5"/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4.5">
      <c r="A12" s="5" t="s">
        <v>10</v>
      </c>
      <c r="B12" s="5"/>
      <c r="C12" s="5" t="s">
        <v>3</v>
      </c>
      <c r="D12" s="123" t="s">
        <v>193</v>
      </c>
      <c r="E12" s="5"/>
      <c r="F12" s="5"/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4.5">
      <c r="A13" s="160" t="s">
        <v>11</v>
      </c>
      <c r="B13" s="150"/>
      <c r="C13" s="5" t="s">
        <v>3</v>
      </c>
      <c r="D13" s="123" t="s">
        <v>186</v>
      </c>
      <c r="E13" s="5"/>
      <c r="F13" s="5"/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4.5">
      <c r="A14" s="5" t="s">
        <v>12</v>
      </c>
      <c r="B14" s="5"/>
      <c r="C14" s="5" t="s">
        <v>3</v>
      </c>
      <c r="D14" s="5" t="s">
        <v>187</v>
      </c>
      <c r="E14" s="5"/>
      <c r="F14" s="5"/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4.5">
      <c r="A15" s="160" t="s">
        <v>13</v>
      </c>
      <c r="B15" s="150"/>
      <c r="C15" s="5" t="s">
        <v>3</v>
      </c>
      <c r="D15" s="5" t="s">
        <v>188</v>
      </c>
      <c r="E15" s="5"/>
      <c r="F15" s="5"/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4.5">
      <c r="A16" s="160" t="s">
        <v>14</v>
      </c>
      <c r="B16" s="150"/>
      <c r="C16" s="5" t="s">
        <v>3</v>
      </c>
      <c r="D16" s="5" t="s">
        <v>189</v>
      </c>
      <c r="E16" s="5"/>
      <c r="F16" s="5"/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4.5">
      <c r="A17" s="160" t="s">
        <v>15</v>
      </c>
      <c r="B17" s="150"/>
      <c r="C17" s="5" t="s">
        <v>3</v>
      </c>
      <c r="D17" s="5" t="s">
        <v>190</v>
      </c>
      <c r="E17" s="5"/>
      <c r="F17" s="5"/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4.5">
      <c r="A18" s="5" t="s">
        <v>16</v>
      </c>
      <c r="B18" s="5"/>
      <c r="C18" s="5" t="s">
        <v>3</v>
      </c>
      <c r="D18" s="5" t="s">
        <v>17</v>
      </c>
      <c r="E18" s="5"/>
      <c r="F18" s="5"/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4.5">
      <c r="A19" s="5" t="s">
        <v>18</v>
      </c>
      <c r="B19" s="5"/>
      <c r="C19" s="5" t="s">
        <v>3</v>
      </c>
      <c r="D19" s="5" t="s">
        <v>19</v>
      </c>
      <c r="E19" s="5"/>
      <c r="F19" s="5"/>
      <c r="G19" s="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4">
      <c r="A20" s="3"/>
      <c r="B20" s="7">
        <v>1</v>
      </c>
      <c r="C20" s="7">
        <v>2</v>
      </c>
      <c r="D20" s="7">
        <v>3</v>
      </c>
      <c r="E20" s="3"/>
      <c r="F20" s="7">
        <v>4</v>
      </c>
      <c r="G20" s="7">
        <v>5</v>
      </c>
      <c r="H20" s="7">
        <v>6</v>
      </c>
      <c r="I20" s="7">
        <v>7</v>
      </c>
      <c r="J20" s="7">
        <v>8</v>
      </c>
      <c r="K20" s="7">
        <v>9</v>
      </c>
      <c r="L20" s="7">
        <v>10</v>
      </c>
      <c r="M20" s="7">
        <v>11</v>
      </c>
      <c r="N20" s="7">
        <v>12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4">
      <c r="A21" s="162" t="s">
        <v>20</v>
      </c>
      <c r="B21" s="162" t="s">
        <v>21</v>
      </c>
      <c r="C21" s="162" t="s">
        <v>22</v>
      </c>
      <c r="D21" s="162" t="s">
        <v>23</v>
      </c>
      <c r="E21" s="162" t="s">
        <v>24</v>
      </c>
      <c r="F21" s="162" t="s">
        <v>25</v>
      </c>
      <c r="G21" s="162" t="s">
        <v>26</v>
      </c>
      <c r="H21" s="162" t="s">
        <v>27</v>
      </c>
      <c r="I21" s="162" t="s">
        <v>28</v>
      </c>
      <c r="J21" s="162" t="s">
        <v>29</v>
      </c>
      <c r="K21" s="150"/>
      <c r="L21" s="150"/>
      <c r="M21" s="163" t="s">
        <v>30</v>
      </c>
      <c r="N21" s="163" t="s">
        <v>31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4">
      <c r="A22" s="150"/>
      <c r="B22" s="150"/>
      <c r="C22" s="150"/>
      <c r="D22" s="150"/>
      <c r="E22" s="150"/>
      <c r="F22" s="150"/>
      <c r="G22" s="150"/>
      <c r="H22" s="150"/>
      <c r="I22" s="150"/>
      <c r="J22" s="8" t="s">
        <v>32</v>
      </c>
      <c r="K22" s="8" t="s">
        <v>33</v>
      </c>
      <c r="L22" s="8" t="s">
        <v>34</v>
      </c>
      <c r="M22" s="150"/>
      <c r="N22" s="150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4">
      <c r="A23" s="10">
        <v>1</v>
      </c>
      <c r="B23" s="10">
        <v>2</v>
      </c>
      <c r="C23" s="10">
        <v>3</v>
      </c>
      <c r="D23" s="10">
        <v>4</v>
      </c>
      <c r="E23" s="10">
        <v>5</v>
      </c>
      <c r="F23" s="10">
        <v>6</v>
      </c>
      <c r="G23" s="10">
        <v>7</v>
      </c>
      <c r="H23" s="10">
        <v>8</v>
      </c>
      <c r="I23" s="10">
        <v>9</v>
      </c>
      <c r="J23" s="10">
        <v>10</v>
      </c>
      <c r="K23" s="10">
        <v>11</v>
      </c>
      <c r="L23" s="10">
        <v>12</v>
      </c>
      <c r="M23" s="10">
        <v>13</v>
      </c>
      <c r="N23" s="10">
        <v>14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5">
      <c r="A24" s="135">
        <v>1</v>
      </c>
      <c r="B24" s="130"/>
      <c r="C24" s="125"/>
      <c r="D24" s="215" t="s">
        <v>198</v>
      </c>
      <c r="E24" s="129" t="s">
        <v>230</v>
      </c>
      <c r="F24" s="132"/>
      <c r="G24" s="137"/>
      <c r="H24" s="133" t="s">
        <v>196</v>
      </c>
      <c r="I24" s="134"/>
      <c r="J24" s="12"/>
      <c r="K24" s="12"/>
      <c r="L24" s="11"/>
      <c r="M24" s="13"/>
      <c r="N24" s="1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5">
      <c r="A25" s="135">
        <v>2</v>
      </c>
      <c r="B25" s="130"/>
      <c r="C25" s="125"/>
      <c r="D25" s="215" t="s">
        <v>199</v>
      </c>
      <c r="E25" s="129" t="s">
        <v>230</v>
      </c>
      <c r="F25" s="132"/>
      <c r="G25" s="136"/>
      <c r="H25" s="133" t="s">
        <v>196</v>
      </c>
      <c r="I25" s="134"/>
      <c r="J25" s="12"/>
      <c r="K25" s="12"/>
      <c r="L25" s="11"/>
      <c r="M25" s="15"/>
      <c r="N25" s="14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5">
      <c r="A26" s="135">
        <v>3</v>
      </c>
      <c r="B26" s="130"/>
      <c r="C26" s="125"/>
      <c r="D26" s="215" t="s">
        <v>200</v>
      </c>
      <c r="E26" s="129" t="s">
        <v>230</v>
      </c>
      <c r="F26" s="132"/>
      <c r="G26" s="136"/>
      <c r="H26" s="133" t="s">
        <v>196</v>
      </c>
      <c r="I26" s="134"/>
      <c r="J26" s="12"/>
      <c r="K26" s="12"/>
      <c r="L26" s="11"/>
      <c r="M26" s="13"/>
      <c r="N26" s="14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5">
      <c r="A27" s="135">
        <v>4</v>
      </c>
      <c r="B27" s="130"/>
      <c r="C27" s="125"/>
      <c r="D27" s="215" t="s">
        <v>201</v>
      </c>
      <c r="E27" s="129" t="s">
        <v>230</v>
      </c>
      <c r="F27" s="132"/>
      <c r="G27" s="136"/>
      <c r="H27" s="133" t="s">
        <v>196</v>
      </c>
      <c r="I27" s="134"/>
      <c r="J27" s="12"/>
      <c r="K27" s="12"/>
      <c r="L27" s="11"/>
      <c r="M27" s="15"/>
      <c r="N27" s="14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5">
      <c r="A28" s="135">
        <v>5</v>
      </c>
      <c r="B28" s="130"/>
      <c r="C28" s="125"/>
      <c r="D28" s="215" t="s">
        <v>202</v>
      </c>
      <c r="E28" s="129" t="s">
        <v>230</v>
      </c>
      <c r="F28" s="132"/>
      <c r="G28" s="136"/>
      <c r="H28" s="133" t="s">
        <v>196</v>
      </c>
      <c r="I28" s="134"/>
      <c r="J28" s="12"/>
      <c r="K28" s="12"/>
      <c r="L28" s="11"/>
      <c r="M28" s="13"/>
      <c r="N28" s="1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5">
      <c r="A29" s="135">
        <v>6</v>
      </c>
      <c r="B29" s="130"/>
      <c r="C29" s="125"/>
      <c r="D29" s="215" t="s">
        <v>203</v>
      </c>
      <c r="E29" s="129" t="s">
        <v>230</v>
      </c>
      <c r="F29" s="132"/>
      <c r="G29" s="136"/>
      <c r="H29" s="133" t="s">
        <v>196</v>
      </c>
      <c r="I29" s="134"/>
      <c r="J29" s="12"/>
      <c r="K29" s="12"/>
      <c r="L29" s="11"/>
      <c r="M29" s="15"/>
      <c r="N29" s="1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5">
      <c r="A30" s="135">
        <v>7</v>
      </c>
      <c r="B30" s="130"/>
      <c r="C30" s="125"/>
      <c r="D30" s="215" t="s">
        <v>204</v>
      </c>
      <c r="E30" s="129" t="s">
        <v>230</v>
      </c>
      <c r="F30" s="132"/>
      <c r="G30" s="136"/>
      <c r="H30" s="133" t="s">
        <v>196</v>
      </c>
      <c r="I30" s="134"/>
      <c r="J30" s="12"/>
      <c r="K30" s="12"/>
      <c r="L30" s="11"/>
      <c r="M30" s="13"/>
      <c r="N30" s="1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5">
      <c r="A31" s="135">
        <v>8</v>
      </c>
      <c r="B31" s="130"/>
      <c r="C31" s="125"/>
      <c r="D31" s="215" t="s">
        <v>205</v>
      </c>
      <c r="E31" s="129" t="s">
        <v>230</v>
      </c>
      <c r="F31" s="132"/>
      <c r="G31" s="136"/>
      <c r="H31" s="133" t="s">
        <v>196</v>
      </c>
      <c r="I31" s="134"/>
      <c r="J31" s="12"/>
      <c r="K31" s="12"/>
      <c r="L31" s="11"/>
      <c r="M31" s="15"/>
      <c r="N31" s="1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5">
      <c r="A32" s="135">
        <v>9</v>
      </c>
      <c r="B32" s="130"/>
      <c r="C32" s="125"/>
      <c r="D32" s="215" t="s">
        <v>206</v>
      </c>
      <c r="E32" s="129" t="s">
        <v>230</v>
      </c>
      <c r="F32" s="132"/>
      <c r="G32" s="136"/>
      <c r="H32" s="133" t="s">
        <v>196</v>
      </c>
      <c r="I32" s="134"/>
      <c r="J32" s="12"/>
      <c r="K32" s="12"/>
      <c r="L32" s="11"/>
      <c r="M32" s="13"/>
      <c r="N32" s="1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" thickBot="1">
      <c r="A33" s="135">
        <v>10</v>
      </c>
      <c r="B33" s="130"/>
      <c r="C33" s="125"/>
      <c r="D33" s="215" t="s">
        <v>207</v>
      </c>
      <c r="E33" s="129" t="s">
        <v>230</v>
      </c>
      <c r="F33" s="132"/>
      <c r="G33" s="136"/>
      <c r="H33" s="133" t="s">
        <v>196</v>
      </c>
      <c r="I33" s="134"/>
      <c r="J33" s="12"/>
      <c r="K33" s="12"/>
      <c r="L33" s="11"/>
      <c r="M33" s="15"/>
      <c r="N33" s="1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6" thickBot="1">
      <c r="A34" s="135">
        <v>11</v>
      </c>
      <c r="B34" s="130"/>
      <c r="C34" s="125"/>
      <c r="D34" s="215" t="s">
        <v>208</v>
      </c>
      <c r="E34" s="129" t="s">
        <v>230</v>
      </c>
      <c r="F34" s="132"/>
      <c r="G34" s="136"/>
      <c r="H34" s="133" t="s">
        <v>196</v>
      </c>
      <c r="I34" s="134"/>
      <c r="J34" s="138"/>
      <c r="K34" s="139"/>
      <c r="L34" s="140">
        <v>2023</v>
      </c>
      <c r="M34" s="13"/>
      <c r="N34" s="1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5">
      <c r="A35" s="135">
        <v>12</v>
      </c>
      <c r="B35" s="130"/>
      <c r="C35" s="125"/>
      <c r="D35" s="215" t="s">
        <v>209</v>
      </c>
      <c r="E35" s="129" t="s">
        <v>230</v>
      </c>
      <c r="F35" s="132"/>
      <c r="G35" s="136"/>
      <c r="H35" s="133" t="s">
        <v>196</v>
      </c>
      <c r="I35" s="134"/>
      <c r="J35" s="12"/>
      <c r="K35" s="12"/>
      <c r="L35" s="11"/>
      <c r="M35" s="15"/>
      <c r="N35" s="1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5">
      <c r="A36" s="135">
        <v>13</v>
      </c>
      <c r="B36" s="130"/>
      <c r="C36" s="125"/>
      <c r="D36" s="215" t="s">
        <v>210</v>
      </c>
      <c r="E36" s="129" t="s">
        <v>230</v>
      </c>
      <c r="F36" s="132"/>
      <c r="G36" s="136"/>
      <c r="H36" s="133" t="s">
        <v>196</v>
      </c>
      <c r="I36" s="134"/>
      <c r="J36" s="12"/>
      <c r="K36" s="12"/>
      <c r="L36" s="11"/>
      <c r="M36" s="13"/>
      <c r="N36" s="1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5">
      <c r="A37" s="135">
        <v>14</v>
      </c>
      <c r="B37" s="130"/>
      <c r="C37" s="125"/>
      <c r="D37" s="215" t="s">
        <v>211</v>
      </c>
      <c r="E37" s="129" t="s">
        <v>230</v>
      </c>
      <c r="F37" s="132"/>
      <c r="G37" s="136"/>
      <c r="H37" s="133" t="s">
        <v>196</v>
      </c>
      <c r="I37" s="134"/>
      <c r="J37" s="12"/>
      <c r="K37" s="12"/>
      <c r="L37" s="11"/>
      <c r="M37" s="15"/>
      <c r="N37" s="14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5">
      <c r="A38" s="135">
        <v>15</v>
      </c>
      <c r="B38" s="130"/>
      <c r="C38" s="126"/>
      <c r="D38" s="215" t="s">
        <v>212</v>
      </c>
      <c r="E38" s="129" t="s">
        <v>230</v>
      </c>
      <c r="F38" s="132"/>
      <c r="G38" s="136"/>
      <c r="H38" s="133" t="s">
        <v>196</v>
      </c>
      <c r="I38" s="134"/>
      <c r="J38" s="12"/>
      <c r="K38" s="12"/>
      <c r="L38" s="11"/>
      <c r="M38" s="13"/>
      <c r="N38" s="14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5">
      <c r="A39" s="135">
        <v>16</v>
      </c>
      <c r="B39" s="130"/>
      <c r="C39" s="125"/>
      <c r="D39" s="215" t="s">
        <v>213</v>
      </c>
      <c r="E39" s="129" t="s">
        <v>230</v>
      </c>
      <c r="F39" s="132"/>
      <c r="G39" s="136"/>
      <c r="H39" s="133" t="s">
        <v>196</v>
      </c>
      <c r="I39" s="134"/>
      <c r="J39" s="12"/>
      <c r="K39" s="12"/>
      <c r="L39" s="11"/>
      <c r="M39" s="15"/>
      <c r="N39" s="1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5">
      <c r="A40" s="135">
        <v>17</v>
      </c>
      <c r="B40" s="130"/>
      <c r="C40" s="125"/>
      <c r="D40" s="215" t="s">
        <v>214</v>
      </c>
      <c r="E40" s="129" t="s">
        <v>230</v>
      </c>
      <c r="F40" s="132"/>
      <c r="G40" s="136"/>
      <c r="H40" s="133" t="s">
        <v>196</v>
      </c>
      <c r="I40" s="134"/>
      <c r="J40" s="12"/>
      <c r="K40" s="12"/>
      <c r="L40" s="11"/>
      <c r="M40" s="13"/>
      <c r="N40" s="1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5">
      <c r="A41" s="135">
        <v>18</v>
      </c>
      <c r="B41" s="130"/>
      <c r="C41" s="125"/>
      <c r="D41" s="215" t="s">
        <v>215</v>
      </c>
      <c r="E41" s="129" t="s">
        <v>230</v>
      </c>
      <c r="F41" s="132"/>
      <c r="G41" s="136"/>
      <c r="H41" s="133" t="s">
        <v>196</v>
      </c>
      <c r="I41" s="134"/>
      <c r="J41" s="12"/>
      <c r="K41" s="12"/>
      <c r="L41" s="11"/>
      <c r="M41" s="15"/>
      <c r="N41" s="1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5">
      <c r="A42" s="135">
        <v>19</v>
      </c>
      <c r="B42" s="130"/>
      <c r="C42" s="125"/>
      <c r="D42" s="215" t="s">
        <v>216</v>
      </c>
      <c r="E42" s="129" t="s">
        <v>230</v>
      </c>
      <c r="F42" s="132"/>
      <c r="G42" s="136"/>
      <c r="H42" s="133" t="s">
        <v>196</v>
      </c>
      <c r="I42" s="134"/>
      <c r="J42" s="12"/>
      <c r="K42" s="12"/>
      <c r="L42" s="11"/>
      <c r="M42" s="13"/>
      <c r="N42" s="1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5">
      <c r="A43" s="135">
        <v>20</v>
      </c>
      <c r="B43" s="130"/>
      <c r="C43" s="125"/>
      <c r="D43" s="215" t="s">
        <v>217</v>
      </c>
      <c r="E43" s="129" t="s">
        <v>230</v>
      </c>
      <c r="F43" s="132"/>
      <c r="G43" s="136"/>
      <c r="H43" s="133" t="s">
        <v>196</v>
      </c>
      <c r="I43" s="134"/>
      <c r="J43" s="12"/>
      <c r="K43" s="12"/>
      <c r="L43" s="11"/>
      <c r="M43" s="15"/>
      <c r="N43" s="14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5">
      <c r="A44" s="135">
        <v>21</v>
      </c>
      <c r="B44" s="130"/>
      <c r="C44" s="125"/>
      <c r="D44" s="215" t="s">
        <v>218</v>
      </c>
      <c r="E44" s="129" t="s">
        <v>230</v>
      </c>
      <c r="F44" s="132"/>
      <c r="G44" s="136"/>
      <c r="H44" s="133" t="s">
        <v>196</v>
      </c>
      <c r="I44" s="134"/>
      <c r="J44" s="12"/>
      <c r="K44" s="12"/>
      <c r="L44" s="11"/>
      <c r="M44" s="13"/>
      <c r="N44" s="14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5">
      <c r="A45" s="135">
        <v>22</v>
      </c>
      <c r="B45" s="131"/>
      <c r="C45" s="125"/>
      <c r="D45" s="215" t="s">
        <v>219</v>
      </c>
      <c r="E45" s="129" t="s">
        <v>230</v>
      </c>
      <c r="F45" s="132"/>
      <c r="G45" s="136"/>
      <c r="H45" s="133" t="s">
        <v>196</v>
      </c>
      <c r="I45" s="134"/>
      <c r="J45" s="12"/>
      <c r="K45" s="12"/>
      <c r="L45" s="11"/>
      <c r="M45" s="15"/>
      <c r="N45" s="14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5">
      <c r="A46" s="135">
        <v>23</v>
      </c>
      <c r="B46" s="130"/>
      <c r="C46" s="125"/>
      <c r="D46" s="215" t="s">
        <v>220</v>
      </c>
      <c r="E46" s="129" t="s">
        <v>230</v>
      </c>
      <c r="F46" s="132"/>
      <c r="G46" s="136"/>
      <c r="H46" s="133" t="s">
        <v>196</v>
      </c>
      <c r="I46" s="134"/>
      <c r="J46" s="12"/>
      <c r="K46" s="12"/>
      <c r="L46" s="11"/>
      <c r="M46" s="13"/>
      <c r="N46" s="14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5">
      <c r="A47" s="135">
        <v>24</v>
      </c>
      <c r="B47" s="130"/>
      <c r="C47" s="126"/>
      <c r="D47" s="215" t="s">
        <v>221</v>
      </c>
      <c r="E47" s="129" t="s">
        <v>230</v>
      </c>
      <c r="F47" s="132"/>
      <c r="G47" s="136"/>
      <c r="H47" s="133" t="s">
        <v>196</v>
      </c>
      <c r="I47" s="134"/>
      <c r="J47" s="12"/>
      <c r="K47" s="12"/>
      <c r="L47" s="11"/>
      <c r="M47" s="15"/>
      <c r="N47" s="14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5">
      <c r="A48" s="135">
        <v>25</v>
      </c>
      <c r="B48" s="130"/>
      <c r="C48" s="125"/>
      <c r="D48" s="215" t="s">
        <v>222</v>
      </c>
      <c r="E48" s="129" t="s">
        <v>230</v>
      </c>
      <c r="F48" s="132"/>
      <c r="G48" s="136"/>
      <c r="H48" s="133" t="s">
        <v>196</v>
      </c>
      <c r="I48" s="134"/>
      <c r="J48" s="12"/>
      <c r="K48" s="12"/>
      <c r="L48" s="11"/>
      <c r="M48" s="13"/>
      <c r="N48" s="14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5">
      <c r="A49" s="135">
        <v>26</v>
      </c>
      <c r="B49" s="130"/>
      <c r="C49" s="125"/>
      <c r="D49" s="215" t="s">
        <v>223</v>
      </c>
      <c r="E49" s="129" t="s">
        <v>230</v>
      </c>
      <c r="F49" s="132"/>
      <c r="G49" s="136"/>
      <c r="H49" s="133" t="s">
        <v>196</v>
      </c>
      <c r="I49" s="134"/>
      <c r="J49" s="12"/>
      <c r="K49" s="12"/>
      <c r="L49" s="11"/>
      <c r="M49" s="15"/>
      <c r="N49" s="14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5">
      <c r="A50" s="135">
        <v>27</v>
      </c>
      <c r="B50" s="130"/>
      <c r="C50" s="125"/>
      <c r="D50" s="215" t="s">
        <v>224</v>
      </c>
      <c r="E50" s="129" t="s">
        <v>230</v>
      </c>
      <c r="F50" s="132"/>
      <c r="G50" s="136"/>
      <c r="H50" s="133" t="s">
        <v>196</v>
      </c>
      <c r="I50" s="134"/>
      <c r="J50" s="12"/>
      <c r="K50" s="12"/>
      <c r="L50" s="11"/>
      <c r="M50" s="13"/>
      <c r="N50" s="14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5">
      <c r="A51" s="135">
        <v>28</v>
      </c>
      <c r="B51" s="130"/>
      <c r="C51" s="125"/>
      <c r="D51" s="215" t="s">
        <v>225</v>
      </c>
      <c r="E51" s="129" t="s">
        <v>230</v>
      </c>
      <c r="F51" s="132"/>
      <c r="G51" s="136"/>
      <c r="H51" s="133" t="s">
        <v>196</v>
      </c>
      <c r="I51" s="134"/>
      <c r="J51" s="12"/>
      <c r="K51" s="12"/>
      <c r="L51" s="11"/>
      <c r="M51" s="15"/>
      <c r="N51" s="1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5">
      <c r="A52" s="135">
        <v>29</v>
      </c>
      <c r="B52" s="130"/>
      <c r="C52" s="125"/>
      <c r="D52" s="216" t="s">
        <v>226</v>
      </c>
      <c r="E52" s="129" t="s">
        <v>230</v>
      </c>
      <c r="F52" s="132"/>
      <c r="G52" s="136"/>
      <c r="H52" s="133" t="s">
        <v>196</v>
      </c>
      <c r="I52" s="134"/>
      <c r="J52" s="12"/>
      <c r="K52" s="12"/>
      <c r="L52" s="11"/>
      <c r="M52" s="13"/>
      <c r="N52" s="1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5">
      <c r="A53" s="135">
        <v>30</v>
      </c>
      <c r="B53" s="130"/>
      <c r="C53" s="125"/>
      <c r="D53" s="215" t="s">
        <v>227</v>
      </c>
      <c r="E53" s="129" t="s">
        <v>230</v>
      </c>
      <c r="F53" s="132"/>
      <c r="G53" s="136"/>
      <c r="H53" s="133" t="s">
        <v>196</v>
      </c>
      <c r="I53" s="134"/>
      <c r="J53" s="12"/>
      <c r="K53" s="12"/>
      <c r="L53" s="11"/>
      <c r="M53" s="15"/>
      <c r="N53" s="1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5">
      <c r="A54" s="135">
        <v>31</v>
      </c>
      <c r="B54" s="130"/>
      <c r="C54" s="125"/>
      <c r="D54" s="215" t="s">
        <v>228</v>
      </c>
      <c r="E54" s="129" t="s">
        <v>230</v>
      </c>
      <c r="F54" s="132"/>
      <c r="G54" s="136"/>
      <c r="H54" s="133" t="s">
        <v>196</v>
      </c>
      <c r="I54" s="134"/>
      <c r="J54" s="12"/>
      <c r="K54" s="12"/>
      <c r="L54" s="11"/>
      <c r="M54" s="13"/>
      <c r="N54" s="14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5">
      <c r="A55" s="135">
        <v>32</v>
      </c>
      <c r="B55" s="130"/>
      <c r="C55" s="125"/>
      <c r="D55" s="215" t="s">
        <v>229</v>
      </c>
      <c r="E55" s="129" t="s">
        <v>230</v>
      </c>
      <c r="F55" s="132"/>
      <c r="G55" s="136"/>
      <c r="H55" s="133" t="s">
        <v>196</v>
      </c>
      <c r="I55" s="134"/>
      <c r="J55" s="12"/>
      <c r="K55" s="12"/>
      <c r="L55" s="11"/>
      <c r="M55" s="15"/>
      <c r="N55" s="14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thickBot="1">
      <c r="A56" s="135">
        <v>33</v>
      </c>
      <c r="B56" s="130"/>
      <c r="C56" s="125"/>
      <c r="D56" s="124"/>
      <c r="E56" s="129"/>
      <c r="F56" s="132"/>
      <c r="G56" s="136"/>
      <c r="H56" s="133" t="s">
        <v>196</v>
      </c>
      <c r="I56" s="134"/>
      <c r="J56" s="12"/>
      <c r="K56" s="12"/>
      <c r="L56" s="11"/>
      <c r="M56" s="13"/>
      <c r="N56" s="1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" thickBot="1">
      <c r="A57" s="135">
        <v>34</v>
      </c>
      <c r="B57" s="130"/>
      <c r="C57" s="125"/>
      <c r="D57" s="124"/>
      <c r="E57" s="129"/>
      <c r="F57" s="132"/>
      <c r="G57" s="136"/>
      <c r="H57" s="133" t="s">
        <v>196</v>
      </c>
      <c r="I57" s="134"/>
      <c r="J57" s="141"/>
      <c r="K57" s="142"/>
      <c r="L57" s="143">
        <v>2023</v>
      </c>
      <c r="M57" s="15"/>
      <c r="N57" s="1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" thickBot="1">
      <c r="A58" s="135">
        <v>35</v>
      </c>
      <c r="B58" s="130"/>
      <c r="C58" s="125"/>
      <c r="D58" s="124"/>
      <c r="E58" s="129"/>
      <c r="F58" s="132"/>
      <c r="G58" s="136"/>
      <c r="H58" s="133" t="s">
        <v>196</v>
      </c>
      <c r="I58" s="134"/>
      <c r="J58" s="144"/>
      <c r="K58" s="146"/>
      <c r="L58" s="145">
        <v>2023</v>
      </c>
      <c r="M58" s="13"/>
      <c r="N58" s="1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4.5">
      <c r="A59" s="135">
        <v>36</v>
      </c>
      <c r="B59" s="130"/>
      <c r="C59" s="125"/>
      <c r="D59" s="124"/>
      <c r="E59" s="129"/>
      <c r="F59" s="132"/>
      <c r="G59" s="136"/>
      <c r="H59" s="133" t="s">
        <v>196</v>
      </c>
      <c r="I59" s="134"/>
      <c r="J59" s="12"/>
      <c r="K59" s="12"/>
      <c r="L59" s="11"/>
      <c r="M59" s="15"/>
      <c r="N59" s="14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4.5">
      <c r="A60" s="135">
        <v>37</v>
      </c>
      <c r="B60" s="130"/>
      <c r="C60" s="125"/>
      <c r="D60" s="124"/>
      <c r="E60" s="129"/>
      <c r="F60" s="132"/>
      <c r="G60" s="136"/>
      <c r="H60" s="133" t="s">
        <v>196</v>
      </c>
      <c r="I60" s="134"/>
      <c r="J60" s="12"/>
      <c r="K60" s="12"/>
      <c r="L60" s="11"/>
      <c r="M60" s="13"/>
      <c r="N60" s="14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4.5">
      <c r="A61" s="135">
        <v>38</v>
      </c>
      <c r="B61" s="130"/>
      <c r="C61" s="125"/>
      <c r="D61" s="124"/>
      <c r="E61" s="129"/>
      <c r="F61" s="132"/>
      <c r="G61" s="136"/>
      <c r="H61" s="133" t="s">
        <v>196</v>
      </c>
      <c r="I61" s="134"/>
      <c r="J61" s="12"/>
      <c r="K61" s="12"/>
      <c r="L61" s="11"/>
      <c r="M61" s="15"/>
      <c r="N61" s="14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4.5">
      <c r="A62" s="135">
        <v>39</v>
      </c>
      <c r="B62" s="130"/>
      <c r="C62" s="125"/>
      <c r="D62" s="124"/>
      <c r="E62" s="129"/>
      <c r="F62" s="132"/>
      <c r="G62" s="136"/>
      <c r="H62" s="133" t="s">
        <v>196</v>
      </c>
      <c r="I62" s="134"/>
      <c r="J62" s="12"/>
      <c r="K62" s="12"/>
      <c r="L62" s="11"/>
      <c r="M62" s="13"/>
      <c r="N62" s="14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4.5">
      <c r="A63" s="135">
        <v>40</v>
      </c>
      <c r="B63" s="130"/>
      <c r="C63" s="125"/>
      <c r="D63" s="124"/>
      <c r="E63" s="129"/>
      <c r="F63" s="132"/>
      <c r="G63" s="136"/>
      <c r="H63" s="133" t="s">
        <v>196</v>
      </c>
      <c r="I63" s="134"/>
      <c r="J63" s="12"/>
      <c r="K63" s="12"/>
      <c r="L63" s="11"/>
      <c r="M63" s="15"/>
      <c r="N63" s="1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4">
      <c r="A64" s="11"/>
      <c r="B64" s="11"/>
      <c r="C64" s="127"/>
      <c r="D64" s="128"/>
      <c r="F64" s="12"/>
      <c r="G64" s="12"/>
      <c r="H64" s="11"/>
      <c r="I64" s="12"/>
      <c r="J64" s="12"/>
      <c r="K64" s="12"/>
      <c r="L64" s="11"/>
      <c r="M64" s="15"/>
      <c r="N64" s="1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">
      <c r="A65" s="11"/>
      <c r="B65" s="11"/>
      <c r="C65" s="127"/>
      <c r="D65" s="128"/>
      <c r="F65" s="12"/>
      <c r="G65" s="12"/>
      <c r="H65" s="11"/>
      <c r="I65" s="12"/>
      <c r="J65" s="12"/>
      <c r="K65" s="12"/>
      <c r="L65" s="11"/>
      <c r="M65" s="15"/>
      <c r="N65" s="1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4">
      <c r="A66" s="11"/>
      <c r="B66" s="11"/>
      <c r="C66" s="127"/>
      <c r="D66" s="128"/>
      <c r="F66" s="12"/>
      <c r="G66" s="12"/>
      <c r="H66" s="11"/>
      <c r="I66" s="12"/>
      <c r="J66" s="12"/>
      <c r="K66" s="12"/>
      <c r="L66" s="11"/>
      <c r="M66" s="15"/>
      <c r="N66" s="1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4">
      <c r="A67" s="11"/>
      <c r="B67" s="11"/>
      <c r="C67" s="127"/>
      <c r="D67" s="128"/>
      <c r="F67" s="12"/>
      <c r="G67" s="12"/>
      <c r="H67" s="11"/>
      <c r="I67" s="12"/>
      <c r="J67" s="12"/>
      <c r="K67" s="12"/>
      <c r="L67" s="11"/>
      <c r="M67" s="15"/>
      <c r="N67" s="14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4">
      <c r="A68" s="11"/>
      <c r="B68" s="11"/>
      <c r="C68" s="127"/>
      <c r="D68" s="128"/>
      <c r="F68" s="12"/>
      <c r="G68" s="12"/>
      <c r="H68" s="11"/>
      <c r="I68" s="12"/>
      <c r="J68" s="12"/>
      <c r="K68" s="12"/>
      <c r="L68" s="11"/>
      <c r="M68" s="15"/>
      <c r="N68" s="14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4">
      <c r="A69" s="11"/>
      <c r="B69" s="11"/>
      <c r="C69" s="127"/>
      <c r="D69" s="128"/>
      <c r="F69" s="12"/>
      <c r="G69" s="12"/>
      <c r="H69" s="11"/>
      <c r="I69" s="12"/>
      <c r="J69" s="12"/>
      <c r="K69" s="12"/>
      <c r="L69" s="11"/>
      <c r="M69" s="15"/>
      <c r="N69" s="14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4">
      <c r="A70" s="11"/>
      <c r="B70" s="11"/>
      <c r="C70" s="127"/>
      <c r="D70" s="128"/>
      <c r="F70" s="12"/>
      <c r="G70" s="12"/>
      <c r="H70" s="11"/>
      <c r="I70" s="12"/>
      <c r="J70" s="12"/>
      <c r="K70" s="12"/>
      <c r="L70" s="11"/>
      <c r="M70" s="15"/>
      <c r="N70" s="14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4.5">
      <c r="A71" s="3"/>
      <c r="B71" s="3"/>
      <c r="C71" s="5" t="s">
        <v>35</v>
      </c>
      <c r="D71" s="3"/>
      <c r="E71" s="3"/>
      <c r="F71" s="3"/>
      <c r="G71" s="3"/>
      <c r="H71" s="3"/>
      <c r="I71" s="3"/>
      <c r="J71" s="3"/>
      <c r="K71" s="3"/>
      <c r="L71" s="3"/>
      <c r="M71" s="16" t="s">
        <v>36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4.5">
      <c r="A72" s="3"/>
      <c r="B72" s="3"/>
      <c r="C72" s="160" t="s">
        <v>37</v>
      </c>
      <c r="D72" s="150"/>
      <c r="E72" s="3"/>
      <c r="F72" s="3"/>
      <c r="G72" s="3"/>
      <c r="H72" s="160" t="s">
        <v>38</v>
      </c>
      <c r="I72" s="15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4.5">
      <c r="A73" s="3"/>
      <c r="B73" s="3"/>
      <c r="C73" s="160" t="s">
        <v>39</v>
      </c>
      <c r="D73" s="150"/>
      <c r="E73" s="3"/>
      <c r="F73" s="3"/>
      <c r="G73" s="3"/>
      <c r="H73" s="160" t="s">
        <v>40</v>
      </c>
      <c r="I73" s="150"/>
      <c r="J73" s="3"/>
      <c r="K73" s="3"/>
      <c r="L73" s="3"/>
      <c r="M73" s="16" t="s">
        <v>41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">
      <c r="A77" s="3"/>
      <c r="B77" s="3"/>
      <c r="C77" s="161" t="str">
        <f>D18</f>
        <v>Pinky Hidayati, S.Psi., M.Psi.</v>
      </c>
      <c r="D77" s="150"/>
      <c r="E77" s="3"/>
      <c r="F77" s="3"/>
      <c r="G77" s="3"/>
      <c r="H77" s="161" t="str">
        <f>D16</f>
        <v>Arini Hidayati, S.Pd., M.Pd</v>
      </c>
      <c r="I77" s="150"/>
      <c r="J77" s="150"/>
      <c r="K77" s="3"/>
      <c r="L77" s="3"/>
      <c r="M77" s="17" t="s">
        <v>42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5">
      <c r="A78" s="3"/>
      <c r="B78" s="3"/>
      <c r="C78" s="160" t="str">
        <f>"NIP " &amp; D19</f>
        <v>NIP 19710101 200012 1 007</v>
      </c>
      <c r="D78" s="150"/>
      <c r="E78" s="3"/>
      <c r="F78" s="3"/>
      <c r="G78" s="3"/>
      <c r="H78" s="160" t="str">
        <f>"NIP " &amp; D17</f>
        <v>NIP 19761212 199802 2001</v>
      </c>
      <c r="I78" s="150"/>
      <c r="J78" s="3"/>
      <c r="K78" s="3"/>
      <c r="L78" s="3"/>
      <c r="M78" s="16" t="s">
        <v>43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</sheetData>
  <mergeCells count="29">
    <mergeCell ref="A6:B6"/>
    <mergeCell ref="A7:B7"/>
    <mergeCell ref="D8:G8"/>
    <mergeCell ref="A10:B10"/>
    <mergeCell ref="A11:B11"/>
    <mergeCell ref="A13:B13"/>
    <mergeCell ref="A15:B15"/>
    <mergeCell ref="F21:F22"/>
    <mergeCell ref="G21:G22"/>
    <mergeCell ref="H21:H22"/>
    <mergeCell ref="A16:B16"/>
    <mergeCell ref="A17:B17"/>
    <mergeCell ref="A21:A22"/>
    <mergeCell ref="B21:B22"/>
    <mergeCell ref="I21:I22"/>
    <mergeCell ref="J21:L21"/>
    <mergeCell ref="M21:M22"/>
    <mergeCell ref="N21:N22"/>
    <mergeCell ref="C72:D72"/>
    <mergeCell ref="H72:I72"/>
    <mergeCell ref="C21:C22"/>
    <mergeCell ref="D21:D22"/>
    <mergeCell ref="E21:E22"/>
    <mergeCell ref="C73:D73"/>
    <mergeCell ref="H73:I73"/>
    <mergeCell ref="C77:D77"/>
    <mergeCell ref="H77:J77"/>
    <mergeCell ref="C78:D78"/>
    <mergeCell ref="H78:I78"/>
  </mergeCells>
  <conditionalFormatting sqref="D33">
    <cfRule type="duplicateValues" dxfId="1" priority="1"/>
  </conditionalFormatting>
  <conditionalFormatting sqref="D45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CA52"/>
  <sheetViews>
    <sheetView tabSelected="1" workbookViewId="0">
      <pane xSplit="4" ySplit="8" topLeftCell="E34" activePane="bottomRight" state="frozen"/>
      <selection pane="topRight" activeCell="E1" sqref="E1"/>
      <selection pane="bottomLeft" activeCell="A9" sqref="A9"/>
      <selection pane="bottomRight" activeCell="BN17" sqref="BN17"/>
    </sheetView>
  </sheetViews>
  <sheetFormatPr defaultColWidth="12.6328125" defaultRowHeight="15.75" customHeight="1"/>
  <cols>
    <col min="1" max="1" width="4.1796875" customWidth="1"/>
    <col min="3" max="3" width="7.453125" customWidth="1"/>
    <col min="4" max="4" width="26.08984375" customWidth="1"/>
  </cols>
  <sheetData>
    <row r="1" spans="1:79" ht="27.5">
      <c r="A1" s="166" t="s">
        <v>44</v>
      </c>
      <c r="B1" s="150"/>
      <c r="C1" s="150"/>
      <c r="D1" s="150"/>
      <c r="E1" s="150"/>
      <c r="F1" s="150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</row>
    <row r="2" spans="1:79" ht="27.5">
      <c r="A2" s="166" t="str">
        <f>BIODATA!D7</f>
        <v>SMKS PACET</v>
      </c>
      <c r="B2" s="150"/>
      <c r="C2" s="150"/>
      <c r="D2" s="150"/>
      <c r="E2" s="150"/>
      <c r="F2" s="150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</row>
    <row r="3" spans="1:79" ht="6.75" customHeight="1">
      <c r="A3" s="4"/>
      <c r="B3" s="4"/>
      <c r="C3" s="4"/>
      <c r="D3" s="4"/>
      <c r="E3" s="4"/>
      <c r="F3" s="4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spans="1:79" ht="12.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</row>
    <row r="5" spans="1:79" ht="15.5">
      <c r="A5" s="154" t="s">
        <v>20</v>
      </c>
      <c r="B5" s="154" t="s">
        <v>21</v>
      </c>
      <c r="C5" s="154" t="s">
        <v>22</v>
      </c>
      <c r="D5" s="154" t="s">
        <v>45</v>
      </c>
      <c r="E5" s="154" t="s">
        <v>27</v>
      </c>
      <c r="F5" s="154" t="s">
        <v>46</v>
      </c>
      <c r="G5" s="154" t="s">
        <v>47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</row>
    <row r="6" spans="1:79" ht="15.5">
      <c r="A6" s="150"/>
      <c r="B6" s="150"/>
      <c r="C6" s="150"/>
      <c r="D6" s="150"/>
      <c r="E6" s="150"/>
      <c r="F6" s="150"/>
      <c r="G6" s="154" t="s">
        <v>48</v>
      </c>
      <c r="H6" s="150"/>
      <c r="I6" s="150"/>
      <c r="J6" s="150"/>
      <c r="K6" s="150"/>
      <c r="L6" s="150"/>
      <c r="M6" s="168" t="s">
        <v>49</v>
      </c>
      <c r="N6" s="150"/>
      <c r="O6" s="150"/>
      <c r="P6" s="150"/>
      <c r="Q6" s="150"/>
      <c r="R6" s="150"/>
      <c r="S6" s="167" t="s">
        <v>50</v>
      </c>
      <c r="T6" s="150"/>
      <c r="U6" s="150"/>
      <c r="V6" s="150"/>
      <c r="W6" s="150"/>
      <c r="X6" s="150"/>
      <c r="Y6" s="168" t="s">
        <v>51</v>
      </c>
      <c r="Z6" s="150"/>
      <c r="AA6" s="150"/>
      <c r="AB6" s="150"/>
      <c r="AC6" s="150"/>
      <c r="AD6" s="167" t="s">
        <v>52</v>
      </c>
      <c r="AE6" s="150"/>
      <c r="AF6" s="150"/>
      <c r="AG6" s="150"/>
      <c r="AH6" s="150"/>
      <c r="AI6" s="168" t="s">
        <v>53</v>
      </c>
      <c r="AJ6" s="150"/>
      <c r="AK6" s="150"/>
      <c r="AL6" s="167" t="s">
        <v>54</v>
      </c>
      <c r="AM6" s="150"/>
      <c r="AN6" s="150"/>
      <c r="AO6" s="150"/>
      <c r="AP6" s="150"/>
      <c r="AQ6" s="150"/>
      <c r="AR6" s="168" t="s">
        <v>55</v>
      </c>
      <c r="AS6" s="150"/>
      <c r="AT6" s="150"/>
      <c r="AU6" s="150"/>
      <c r="AV6" s="150"/>
      <c r="AW6" s="150"/>
      <c r="AX6" s="167" t="s">
        <v>56</v>
      </c>
      <c r="AY6" s="150"/>
      <c r="AZ6" s="150"/>
      <c r="BA6" s="150"/>
      <c r="BB6" s="150"/>
      <c r="BC6" s="150"/>
      <c r="BD6" s="168" t="s">
        <v>57</v>
      </c>
      <c r="BE6" s="150"/>
      <c r="BF6" s="150"/>
      <c r="BG6" s="167" t="s">
        <v>58</v>
      </c>
      <c r="BH6" s="150"/>
      <c r="BI6" s="150"/>
      <c r="BJ6" s="168" t="s">
        <v>59</v>
      </c>
      <c r="BK6" s="150"/>
      <c r="BL6" s="150"/>
      <c r="BM6" s="167" t="s">
        <v>10</v>
      </c>
      <c r="BN6" s="150"/>
      <c r="BO6" s="150"/>
      <c r="BP6" s="150"/>
      <c r="BQ6" s="168" t="s">
        <v>60</v>
      </c>
      <c r="BR6" s="150"/>
      <c r="BS6" s="150"/>
      <c r="BT6" s="150"/>
      <c r="BU6" s="167" t="s">
        <v>61</v>
      </c>
      <c r="BV6" s="150"/>
      <c r="BW6" s="168" t="s">
        <v>62</v>
      </c>
      <c r="BX6" s="150"/>
      <c r="BY6" s="150"/>
      <c r="BZ6" s="150"/>
      <c r="CA6" s="154" t="s">
        <v>63</v>
      </c>
    </row>
    <row r="7" spans="1:79" ht="15.5">
      <c r="A7" s="150"/>
      <c r="B7" s="150"/>
      <c r="C7" s="150"/>
      <c r="D7" s="150"/>
      <c r="E7" s="150"/>
      <c r="F7" s="150"/>
      <c r="G7" s="154" t="s">
        <v>64</v>
      </c>
      <c r="H7" s="150"/>
      <c r="I7" s="150"/>
      <c r="J7" s="150"/>
      <c r="K7" s="150"/>
      <c r="L7" s="150"/>
      <c r="M7" s="168" t="s">
        <v>64</v>
      </c>
      <c r="N7" s="150"/>
      <c r="O7" s="150"/>
      <c r="P7" s="150"/>
      <c r="Q7" s="150"/>
      <c r="R7" s="150"/>
      <c r="S7" s="167" t="s">
        <v>64</v>
      </c>
      <c r="T7" s="150"/>
      <c r="U7" s="150"/>
      <c r="V7" s="150"/>
      <c r="W7" s="150"/>
      <c r="X7" s="150"/>
      <c r="Y7" s="168" t="s">
        <v>64</v>
      </c>
      <c r="Z7" s="150"/>
      <c r="AA7" s="150"/>
      <c r="AB7" s="150"/>
      <c r="AC7" s="150"/>
      <c r="AD7" s="167" t="s">
        <v>64</v>
      </c>
      <c r="AE7" s="150"/>
      <c r="AF7" s="150"/>
      <c r="AG7" s="150"/>
      <c r="AH7" s="150"/>
      <c r="AI7" s="168" t="s">
        <v>64</v>
      </c>
      <c r="AJ7" s="150"/>
      <c r="AK7" s="150"/>
      <c r="AL7" s="169" t="s">
        <v>64</v>
      </c>
      <c r="AM7" s="150"/>
      <c r="AN7" s="150"/>
      <c r="AO7" s="150"/>
      <c r="AP7" s="150"/>
      <c r="AQ7" s="150"/>
      <c r="AR7" s="168" t="s">
        <v>64</v>
      </c>
      <c r="AS7" s="150"/>
      <c r="AT7" s="150"/>
      <c r="AU7" s="150"/>
      <c r="AV7" s="150"/>
      <c r="AW7" s="150"/>
      <c r="AX7" s="167" t="s">
        <v>64</v>
      </c>
      <c r="AY7" s="150"/>
      <c r="AZ7" s="150"/>
      <c r="BA7" s="150"/>
      <c r="BB7" s="150"/>
      <c r="BC7" s="150"/>
      <c r="BD7" s="168" t="s">
        <v>64</v>
      </c>
      <c r="BE7" s="150"/>
      <c r="BF7" s="150"/>
      <c r="BG7" s="167" t="s">
        <v>64</v>
      </c>
      <c r="BH7" s="150"/>
      <c r="BI7" s="150"/>
      <c r="BJ7" s="168" t="s">
        <v>64</v>
      </c>
      <c r="BK7" s="150"/>
      <c r="BL7" s="150"/>
      <c r="BM7" s="167" t="s">
        <v>64</v>
      </c>
      <c r="BN7" s="150"/>
      <c r="BO7" s="150"/>
      <c r="BP7" s="150"/>
      <c r="BQ7" s="168" t="s">
        <v>64</v>
      </c>
      <c r="BR7" s="150"/>
      <c r="BS7" s="150"/>
      <c r="BT7" s="150"/>
      <c r="BU7" s="167" t="s">
        <v>64</v>
      </c>
      <c r="BV7" s="150"/>
      <c r="BW7" s="168" t="s">
        <v>64</v>
      </c>
      <c r="BX7" s="150"/>
      <c r="BY7" s="150"/>
      <c r="BZ7" s="150"/>
      <c r="CA7" s="150"/>
    </row>
    <row r="8" spans="1:79" ht="14">
      <c r="A8" s="150"/>
      <c r="B8" s="150"/>
      <c r="C8" s="150"/>
      <c r="D8" s="150"/>
      <c r="E8" s="150"/>
      <c r="F8" s="150"/>
      <c r="G8" s="10">
        <v>1</v>
      </c>
      <c r="H8" s="10">
        <v>2</v>
      </c>
      <c r="I8" s="10">
        <v>3</v>
      </c>
      <c r="J8" s="10">
        <v>4</v>
      </c>
      <c r="K8" s="10">
        <v>5</v>
      </c>
      <c r="L8" s="9" t="s">
        <v>65</v>
      </c>
      <c r="M8" s="10">
        <v>1</v>
      </c>
      <c r="N8" s="10">
        <v>2</v>
      </c>
      <c r="O8" s="10">
        <v>3</v>
      </c>
      <c r="P8" s="10">
        <v>4</v>
      </c>
      <c r="Q8" s="10">
        <v>5</v>
      </c>
      <c r="R8" s="20" t="s">
        <v>65</v>
      </c>
      <c r="S8" s="10">
        <v>1</v>
      </c>
      <c r="T8" s="10">
        <v>2</v>
      </c>
      <c r="U8" s="10">
        <v>3</v>
      </c>
      <c r="V8" s="10">
        <v>4</v>
      </c>
      <c r="W8" s="10">
        <v>5</v>
      </c>
      <c r="X8" s="9" t="s">
        <v>65</v>
      </c>
      <c r="Y8" s="10">
        <v>1</v>
      </c>
      <c r="Z8" s="10">
        <v>2</v>
      </c>
      <c r="AA8" s="10">
        <v>3</v>
      </c>
      <c r="AB8" s="10">
        <v>4</v>
      </c>
      <c r="AC8" s="20" t="s">
        <v>65</v>
      </c>
      <c r="AD8" s="10">
        <v>1</v>
      </c>
      <c r="AE8" s="10">
        <v>2</v>
      </c>
      <c r="AF8" s="10">
        <v>3</v>
      </c>
      <c r="AG8" s="10">
        <v>4</v>
      </c>
      <c r="AH8" s="9" t="s">
        <v>65</v>
      </c>
      <c r="AI8" s="10">
        <v>1</v>
      </c>
      <c r="AJ8" s="10">
        <v>2</v>
      </c>
      <c r="AK8" s="20" t="s">
        <v>65</v>
      </c>
      <c r="AL8" s="10">
        <v>1</v>
      </c>
      <c r="AM8" s="10">
        <v>2</v>
      </c>
      <c r="AN8" s="10">
        <v>3</v>
      </c>
      <c r="AO8" s="10">
        <v>4</v>
      </c>
      <c r="AP8" s="10">
        <v>5</v>
      </c>
      <c r="AQ8" s="21" t="s">
        <v>65</v>
      </c>
      <c r="AR8" s="10">
        <v>1</v>
      </c>
      <c r="AS8" s="10">
        <v>2</v>
      </c>
      <c r="AT8" s="10">
        <v>3</v>
      </c>
      <c r="AU8" s="10">
        <v>4</v>
      </c>
      <c r="AV8" s="10">
        <v>5</v>
      </c>
      <c r="AW8" s="20" t="s">
        <v>65</v>
      </c>
      <c r="AX8" s="10">
        <v>1</v>
      </c>
      <c r="AY8" s="10">
        <v>2</v>
      </c>
      <c r="AZ8" s="10">
        <v>3</v>
      </c>
      <c r="BA8" s="10">
        <v>4</v>
      </c>
      <c r="BB8" s="10">
        <v>5</v>
      </c>
      <c r="BC8" s="9" t="s">
        <v>65</v>
      </c>
      <c r="BD8" s="10">
        <v>1</v>
      </c>
      <c r="BE8" s="10">
        <v>2</v>
      </c>
      <c r="BF8" s="20" t="s">
        <v>65</v>
      </c>
      <c r="BG8" s="10">
        <v>1</v>
      </c>
      <c r="BH8" s="10">
        <v>2</v>
      </c>
      <c r="BI8" s="9" t="s">
        <v>65</v>
      </c>
      <c r="BJ8" s="10">
        <v>1</v>
      </c>
      <c r="BK8" s="10">
        <v>2</v>
      </c>
      <c r="BL8" s="20" t="s">
        <v>65</v>
      </c>
      <c r="BM8" s="10">
        <v>3</v>
      </c>
      <c r="BN8" s="10">
        <v>4</v>
      </c>
      <c r="BO8" s="10">
        <v>5</v>
      </c>
      <c r="BP8" s="9" t="s">
        <v>65</v>
      </c>
      <c r="BQ8" s="10">
        <v>3</v>
      </c>
      <c r="BR8" s="10">
        <v>4</v>
      </c>
      <c r="BS8" s="10">
        <v>5</v>
      </c>
      <c r="BT8" s="20" t="s">
        <v>65</v>
      </c>
      <c r="BU8" s="10">
        <v>6</v>
      </c>
      <c r="BV8" s="20" t="s">
        <v>65</v>
      </c>
      <c r="BW8" s="10">
        <v>3</v>
      </c>
      <c r="BX8" s="10">
        <v>4</v>
      </c>
      <c r="BY8" s="10">
        <v>5</v>
      </c>
      <c r="BZ8" s="20" t="s">
        <v>65</v>
      </c>
      <c r="CA8" s="150"/>
    </row>
    <row r="9" spans="1:79" ht="14.5">
      <c r="A9" s="22">
        <v>1</v>
      </c>
      <c r="B9" s="23">
        <f>BIODATA!B24</f>
        <v>0</v>
      </c>
      <c r="C9" s="23">
        <f>BIODATA!C24</f>
        <v>0</v>
      </c>
      <c r="D9" s="24" t="str">
        <f>BIODATA!D24</f>
        <v>ABIL QOSHIM HAMDI</v>
      </c>
      <c r="E9" s="23" t="str">
        <f>BIODATA!H24</f>
        <v>L</v>
      </c>
      <c r="F9" s="22" t="str">
        <f>BIODATA!E24</f>
        <v>X TKR 1</v>
      </c>
      <c r="G9" s="25">
        <v>78</v>
      </c>
      <c r="H9" s="25"/>
      <c r="I9" s="25"/>
      <c r="J9" s="25"/>
      <c r="K9" s="25"/>
      <c r="L9" s="26">
        <f>AVERAGE(G9:K9)</f>
        <v>78</v>
      </c>
      <c r="M9" s="25">
        <v>78</v>
      </c>
      <c r="N9" s="25"/>
      <c r="O9" s="25"/>
      <c r="P9" s="25"/>
      <c r="Q9" s="25"/>
      <c r="R9" s="27">
        <f>AVERAGE(M9:Q9)</f>
        <v>78</v>
      </c>
      <c r="S9" s="25">
        <v>80</v>
      </c>
      <c r="T9" s="25"/>
      <c r="U9" s="25"/>
      <c r="V9" s="25"/>
      <c r="W9" s="25"/>
      <c r="X9" s="26">
        <f>AVERAGE(S9:W9)</f>
        <v>80</v>
      </c>
      <c r="Y9" s="25">
        <v>78</v>
      </c>
      <c r="Z9" s="25"/>
      <c r="AA9" s="25"/>
      <c r="AB9" s="25"/>
      <c r="AC9" s="27">
        <f>AVERAGE(Y9:AB9)</f>
        <v>78</v>
      </c>
      <c r="AD9" s="25">
        <v>80</v>
      </c>
      <c r="AE9" s="25"/>
      <c r="AF9" s="25"/>
      <c r="AG9" s="25"/>
      <c r="AH9" s="26">
        <f>AVERAGE(AD9:AG9)</f>
        <v>80</v>
      </c>
      <c r="AI9" s="25">
        <v>85</v>
      </c>
      <c r="AJ9" s="25"/>
      <c r="AK9" s="27">
        <f>AVERAGE(AI9:AJ9)</f>
        <v>85</v>
      </c>
      <c r="AL9" s="28">
        <v>78</v>
      </c>
      <c r="AM9" s="28"/>
      <c r="AN9" s="28"/>
      <c r="AO9" s="28"/>
      <c r="AP9" s="28"/>
      <c r="AQ9" s="26">
        <f>AVERAGE(AL9:AP9)</f>
        <v>78</v>
      </c>
      <c r="AR9" s="28">
        <v>78</v>
      </c>
      <c r="AS9" s="28"/>
      <c r="AT9" s="28"/>
      <c r="AU9" s="28"/>
      <c r="AV9" s="28"/>
      <c r="AW9" s="27">
        <f>AVERAGE(AR9:AV9)</f>
        <v>78</v>
      </c>
      <c r="AX9" s="28">
        <v>78</v>
      </c>
      <c r="AY9" s="28"/>
      <c r="AZ9" s="28"/>
      <c r="BA9" s="28"/>
      <c r="BB9" s="28"/>
      <c r="BC9" s="26">
        <f>AVERAGE(AX9:BB9)</f>
        <v>78</v>
      </c>
      <c r="BD9" s="28">
        <v>78</v>
      </c>
      <c r="BE9" s="28"/>
      <c r="BF9" s="27">
        <f>AVERAGE(BD9:BE9)</f>
        <v>78</v>
      </c>
      <c r="BG9" s="28">
        <v>80</v>
      </c>
      <c r="BH9" s="28"/>
      <c r="BI9" s="26">
        <f>AVERAGE(BG9:BH9)</f>
        <v>80</v>
      </c>
      <c r="BJ9" s="28">
        <v>78</v>
      </c>
      <c r="BK9" s="28"/>
      <c r="BL9" s="27">
        <f>AVERAGE(BJ9:BK9)</f>
        <v>78</v>
      </c>
      <c r="BM9" s="28"/>
      <c r="BN9" s="28"/>
      <c r="BO9" s="28"/>
      <c r="BP9" s="26" t="e">
        <f>AVERAGE(BM9:BO9)</f>
        <v>#DIV/0!</v>
      </c>
      <c r="BQ9" s="28"/>
      <c r="BR9" s="28"/>
      <c r="BS9" s="28"/>
      <c r="BT9" s="27" t="e">
        <f>AVERAGE(BQ9:BS9)</f>
        <v>#DIV/0!</v>
      </c>
      <c r="BU9" s="28"/>
      <c r="BV9" s="26">
        <f>BU9</f>
        <v>0</v>
      </c>
      <c r="BW9" s="27"/>
      <c r="BX9" s="28"/>
      <c r="BY9" s="28"/>
      <c r="BZ9" s="27" t="e">
        <f>AVERAGE(BW9:BY9)</f>
        <v>#DIV/0!</v>
      </c>
      <c r="CA9" s="29" t="str">
        <f t="shared" ref="CA9:CA48" si="0">IFERROR(ROUND(AVERAGE(L9,R9,X9,AC9,AH9,AK9,AQ9,AW9,BC9,BF9,BI9,BL9,BP9,BT9,BV9,BZ9),2),"")</f>
        <v/>
      </c>
    </row>
    <row r="10" spans="1:79" ht="14.5">
      <c r="A10" s="22">
        <v>2</v>
      </c>
      <c r="B10" s="23">
        <f>BIODATA!B25</f>
        <v>0</v>
      </c>
      <c r="C10" s="23">
        <f>BIODATA!C25</f>
        <v>0</v>
      </c>
      <c r="D10" s="24" t="str">
        <f>BIODATA!D25</f>
        <v>AHMA SELGI NUR SA'BAN</v>
      </c>
      <c r="E10" s="23" t="str">
        <f>BIODATA!H25</f>
        <v>L</v>
      </c>
      <c r="F10" s="22" t="str">
        <f>BIODATA!E25</f>
        <v>X TKR 1</v>
      </c>
      <c r="G10" s="25">
        <v>85</v>
      </c>
      <c r="H10" s="25"/>
      <c r="I10" s="25"/>
      <c r="J10" s="25"/>
      <c r="K10" s="25"/>
      <c r="L10" s="26">
        <f t="shared" ref="L10:L48" si="1">AVERAGE(G10:K10)</f>
        <v>85</v>
      </c>
      <c r="M10" s="25">
        <v>78</v>
      </c>
      <c r="N10" s="25"/>
      <c r="O10" s="25"/>
      <c r="P10" s="25"/>
      <c r="Q10" s="25"/>
      <c r="R10" s="27">
        <f t="shared" ref="R10:R48" si="2">AVERAGE(M10:Q10)</f>
        <v>78</v>
      </c>
      <c r="S10" s="25">
        <v>80</v>
      </c>
      <c r="T10" s="25"/>
      <c r="U10" s="25"/>
      <c r="V10" s="25"/>
      <c r="W10" s="25"/>
      <c r="X10" s="26">
        <f t="shared" ref="X10:X48" si="3">AVERAGE(S10:W10)</f>
        <v>80</v>
      </c>
      <c r="Y10" s="25">
        <v>88</v>
      </c>
      <c r="Z10" s="25"/>
      <c r="AA10" s="25"/>
      <c r="AB10" s="25"/>
      <c r="AC10" s="27">
        <f t="shared" ref="AC10:AC48" si="4">AVERAGE(Y10:AB10)</f>
        <v>88</v>
      </c>
      <c r="AD10" s="25">
        <v>87</v>
      </c>
      <c r="AE10" s="25"/>
      <c r="AF10" s="25"/>
      <c r="AG10" s="25"/>
      <c r="AH10" s="26">
        <f t="shared" ref="AH10:AH48" si="5">AVERAGE(AD10:AG10)</f>
        <v>87</v>
      </c>
      <c r="AI10" s="25">
        <v>85</v>
      </c>
      <c r="AJ10" s="25"/>
      <c r="AK10" s="27">
        <f t="shared" ref="AK10:AK48" si="6">AVERAGE(AI10:AJ10)</f>
        <v>85</v>
      </c>
      <c r="AL10" s="28">
        <v>85</v>
      </c>
      <c r="AM10" s="28"/>
      <c r="AN10" s="28"/>
      <c r="AO10" s="28"/>
      <c r="AP10" s="28"/>
      <c r="AQ10" s="26">
        <f t="shared" ref="AQ10:AQ48" si="7">AVERAGE(AL10:AP10)</f>
        <v>85</v>
      </c>
      <c r="AR10" s="28">
        <v>79</v>
      </c>
      <c r="AS10" s="28"/>
      <c r="AT10" s="28"/>
      <c r="AU10" s="28"/>
      <c r="AV10" s="28"/>
      <c r="AW10" s="27">
        <f t="shared" ref="AW10:AW48" si="8">AVERAGE(AR10:AV10)</f>
        <v>79</v>
      </c>
      <c r="AX10" s="28">
        <v>80</v>
      </c>
      <c r="AY10" s="28"/>
      <c r="AZ10" s="28"/>
      <c r="BA10" s="28"/>
      <c r="BB10" s="28"/>
      <c r="BC10" s="26">
        <f t="shared" ref="BC10:BC48" si="9">AVERAGE(AX10:BB10)</f>
        <v>80</v>
      </c>
      <c r="BD10" s="28">
        <v>78</v>
      </c>
      <c r="BE10" s="28"/>
      <c r="BF10" s="27">
        <f t="shared" ref="BF10:BF48" si="10">AVERAGE(BD10:BE10)</f>
        <v>78</v>
      </c>
      <c r="BG10" s="28">
        <v>82</v>
      </c>
      <c r="BH10" s="28"/>
      <c r="BI10" s="26">
        <f t="shared" ref="BI10:BI48" si="11">AVERAGE(BG10:BH10)</f>
        <v>82</v>
      </c>
      <c r="BJ10" s="28">
        <v>78</v>
      </c>
      <c r="BK10" s="28"/>
      <c r="BL10" s="27">
        <f t="shared" ref="BL10:BL48" si="12">AVERAGE(BJ10:BK10)</f>
        <v>78</v>
      </c>
      <c r="BM10" s="28"/>
      <c r="BN10" s="28"/>
      <c r="BO10" s="28"/>
      <c r="BP10" s="26" t="e">
        <f t="shared" ref="BP10:BP48" si="13">AVERAGE(BM10:BO10)</f>
        <v>#DIV/0!</v>
      </c>
      <c r="BQ10" s="28"/>
      <c r="BR10" s="28"/>
      <c r="BS10" s="28"/>
      <c r="BT10" s="27" t="e">
        <f t="shared" ref="BT10:BT48" si="14">AVERAGE(BQ10:BS10)</f>
        <v>#DIV/0!</v>
      </c>
      <c r="BU10" s="28"/>
      <c r="BV10" s="26">
        <f t="shared" ref="BV10:BV48" si="15">BU10</f>
        <v>0</v>
      </c>
      <c r="BW10" s="27"/>
      <c r="BX10" s="28"/>
      <c r="BY10" s="28"/>
      <c r="BZ10" s="27" t="e">
        <f t="shared" ref="BZ10:BZ48" si="16">AVERAGE(BW10:BY10)</f>
        <v>#DIV/0!</v>
      </c>
      <c r="CA10" s="29" t="str">
        <f t="shared" si="0"/>
        <v/>
      </c>
    </row>
    <row r="11" spans="1:79" ht="14.5">
      <c r="A11" s="22">
        <v>3</v>
      </c>
      <c r="B11" s="23">
        <f>BIODATA!B26</f>
        <v>0</v>
      </c>
      <c r="C11" s="23">
        <f>BIODATA!C26</f>
        <v>0</v>
      </c>
      <c r="D11" s="24" t="str">
        <f>BIODATA!D26</f>
        <v>AHMAD ISOMUDDIN KHADIIQ</v>
      </c>
      <c r="E11" s="23" t="str">
        <f>BIODATA!H26</f>
        <v>L</v>
      </c>
      <c r="F11" s="22" t="str">
        <f>BIODATA!E26</f>
        <v>X TKR 1</v>
      </c>
      <c r="G11" s="25">
        <v>87</v>
      </c>
      <c r="H11" s="25"/>
      <c r="I11" s="25"/>
      <c r="J11" s="25"/>
      <c r="K11" s="25"/>
      <c r="L11" s="26">
        <f t="shared" si="1"/>
        <v>87</v>
      </c>
      <c r="M11" s="25">
        <v>89</v>
      </c>
      <c r="N11" s="25"/>
      <c r="O11" s="25"/>
      <c r="P11" s="25"/>
      <c r="Q11" s="25"/>
      <c r="R11" s="27">
        <f t="shared" si="2"/>
        <v>89</v>
      </c>
      <c r="S11" s="25">
        <v>80</v>
      </c>
      <c r="T11" s="25"/>
      <c r="U11" s="25"/>
      <c r="V11" s="25"/>
      <c r="W11" s="25"/>
      <c r="X11" s="26">
        <f t="shared" si="3"/>
        <v>80</v>
      </c>
      <c r="Y11" s="25">
        <v>89</v>
      </c>
      <c r="Z11" s="25"/>
      <c r="AA11" s="25"/>
      <c r="AB11" s="25"/>
      <c r="AC11" s="27">
        <f t="shared" si="4"/>
        <v>89</v>
      </c>
      <c r="AD11" s="25">
        <v>89</v>
      </c>
      <c r="AE11" s="25"/>
      <c r="AF11" s="25"/>
      <c r="AG11" s="25"/>
      <c r="AH11" s="26">
        <f t="shared" si="5"/>
        <v>89</v>
      </c>
      <c r="AI11" s="25">
        <v>80</v>
      </c>
      <c r="AJ11" s="25"/>
      <c r="AK11" s="27">
        <f t="shared" si="6"/>
        <v>80</v>
      </c>
      <c r="AL11" s="28">
        <v>87</v>
      </c>
      <c r="AM11" s="28"/>
      <c r="AN11" s="28"/>
      <c r="AO11" s="28"/>
      <c r="AP11" s="28"/>
      <c r="AQ11" s="26">
        <f t="shared" si="7"/>
        <v>87</v>
      </c>
      <c r="AR11" s="28">
        <v>81</v>
      </c>
      <c r="AS11" s="28"/>
      <c r="AT11" s="28"/>
      <c r="AU11" s="28"/>
      <c r="AV11" s="28"/>
      <c r="AW11" s="27">
        <f t="shared" si="8"/>
        <v>81</v>
      </c>
      <c r="AX11" s="28">
        <v>78</v>
      </c>
      <c r="AY11" s="28"/>
      <c r="AZ11" s="28"/>
      <c r="BA11" s="28"/>
      <c r="BB11" s="28"/>
      <c r="BC11" s="26">
        <f t="shared" si="9"/>
        <v>78</v>
      </c>
      <c r="BD11" s="28">
        <v>78</v>
      </c>
      <c r="BE11" s="28"/>
      <c r="BF11" s="27">
        <f t="shared" si="10"/>
        <v>78</v>
      </c>
      <c r="BG11" s="28">
        <v>82</v>
      </c>
      <c r="BH11" s="28"/>
      <c r="BI11" s="26">
        <f t="shared" si="11"/>
        <v>82</v>
      </c>
      <c r="BJ11" s="28">
        <v>78</v>
      </c>
      <c r="BK11" s="28"/>
      <c r="BL11" s="27">
        <f t="shared" si="12"/>
        <v>78</v>
      </c>
      <c r="BM11" s="28"/>
      <c r="BN11" s="28"/>
      <c r="BO11" s="28"/>
      <c r="BP11" s="26" t="e">
        <f t="shared" si="13"/>
        <v>#DIV/0!</v>
      </c>
      <c r="BQ11" s="28"/>
      <c r="BR11" s="28"/>
      <c r="BS11" s="28"/>
      <c r="BT11" s="27" t="e">
        <f t="shared" si="14"/>
        <v>#DIV/0!</v>
      </c>
      <c r="BU11" s="28"/>
      <c r="BV11" s="26">
        <f t="shared" si="15"/>
        <v>0</v>
      </c>
      <c r="BW11" s="27"/>
      <c r="BX11" s="28"/>
      <c r="BY11" s="28"/>
      <c r="BZ11" s="27" t="e">
        <f t="shared" si="16"/>
        <v>#DIV/0!</v>
      </c>
      <c r="CA11" s="29" t="str">
        <f t="shared" si="0"/>
        <v/>
      </c>
    </row>
    <row r="12" spans="1:79" ht="14.5">
      <c r="A12" s="22">
        <v>4</v>
      </c>
      <c r="B12" s="23">
        <f>BIODATA!B27</f>
        <v>0</v>
      </c>
      <c r="C12" s="23">
        <f>BIODATA!C27</f>
        <v>0</v>
      </c>
      <c r="D12" s="24" t="str">
        <f>BIODATA!D27</f>
        <v>AHMAD VERNANDO ZAKARIA</v>
      </c>
      <c r="E12" s="23" t="str">
        <f>BIODATA!H27</f>
        <v>L</v>
      </c>
      <c r="F12" s="22" t="str">
        <f>BIODATA!E27</f>
        <v>X TKR 1</v>
      </c>
      <c r="G12" s="25">
        <v>89</v>
      </c>
      <c r="H12" s="25"/>
      <c r="I12" s="25"/>
      <c r="J12" s="25"/>
      <c r="K12" s="25"/>
      <c r="L12" s="26">
        <f t="shared" si="1"/>
        <v>89</v>
      </c>
      <c r="M12" s="25">
        <v>89</v>
      </c>
      <c r="N12" s="25"/>
      <c r="O12" s="25"/>
      <c r="P12" s="25"/>
      <c r="Q12" s="25"/>
      <c r="R12" s="27">
        <f t="shared" si="2"/>
        <v>89</v>
      </c>
      <c r="S12" s="25">
        <v>82</v>
      </c>
      <c r="T12" s="25"/>
      <c r="U12" s="25"/>
      <c r="V12" s="25"/>
      <c r="W12" s="25"/>
      <c r="X12" s="26">
        <f t="shared" si="3"/>
        <v>82</v>
      </c>
      <c r="Y12" s="25">
        <v>85</v>
      </c>
      <c r="Z12" s="25"/>
      <c r="AA12" s="25"/>
      <c r="AB12" s="25"/>
      <c r="AC12" s="27">
        <f t="shared" si="4"/>
        <v>85</v>
      </c>
      <c r="AD12" s="25">
        <v>91</v>
      </c>
      <c r="AE12" s="25"/>
      <c r="AF12" s="25"/>
      <c r="AG12" s="25"/>
      <c r="AH12" s="26">
        <f t="shared" si="5"/>
        <v>91</v>
      </c>
      <c r="AI12" s="25">
        <v>83</v>
      </c>
      <c r="AJ12" s="25"/>
      <c r="AK12" s="27">
        <f t="shared" si="6"/>
        <v>83</v>
      </c>
      <c r="AL12" s="28">
        <v>89</v>
      </c>
      <c r="AM12" s="28"/>
      <c r="AN12" s="28"/>
      <c r="AO12" s="28"/>
      <c r="AP12" s="28"/>
      <c r="AQ12" s="26">
        <f t="shared" si="7"/>
        <v>89</v>
      </c>
      <c r="AR12" s="28">
        <v>79</v>
      </c>
      <c r="AS12" s="28"/>
      <c r="AT12" s="28"/>
      <c r="AU12" s="28"/>
      <c r="AV12" s="28"/>
      <c r="AW12" s="27">
        <f t="shared" si="8"/>
        <v>79</v>
      </c>
      <c r="AX12" s="28">
        <v>80</v>
      </c>
      <c r="AY12" s="28"/>
      <c r="AZ12" s="28"/>
      <c r="BA12" s="28"/>
      <c r="BB12" s="28"/>
      <c r="BC12" s="26">
        <f t="shared" si="9"/>
        <v>80</v>
      </c>
      <c r="BD12" s="28">
        <v>85</v>
      </c>
      <c r="BE12" s="28"/>
      <c r="BF12" s="27">
        <f t="shared" si="10"/>
        <v>85</v>
      </c>
      <c r="BG12" s="28">
        <v>81</v>
      </c>
      <c r="BH12" s="28"/>
      <c r="BI12" s="26">
        <f t="shared" si="11"/>
        <v>81</v>
      </c>
      <c r="BJ12" s="28">
        <v>85</v>
      </c>
      <c r="BK12" s="28"/>
      <c r="BL12" s="27">
        <f t="shared" si="12"/>
        <v>85</v>
      </c>
      <c r="BM12" s="28"/>
      <c r="BN12" s="28"/>
      <c r="BO12" s="28"/>
      <c r="BP12" s="26" t="e">
        <f t="shared" si="13"/>
        <v>#DIV/0!</v>
      </c>
      <c r="BQ12" s="28"/>
      <c r="BR12" s="28"/>
      <c r="BS12" s="28"/>
      <c r="BT12" s="27" t="e">
        <f t="shared" si="14"/>
        <v>#DIV/0!</v>
      </c>
      <c r="BU12" s="28"/>
      <c r="BV12" s="26">
        <f t="shared" si="15"/>
        <v>0</v>
      </c>
      <c r="BW12" s="27"/>
      <c r="BX12" s="28"/>
      <c r="BY12" s="28"/>
      <c r="BZ12" s="27" t="e">
        <f t="shared" si="16"/>
        <v>#DIV/0!</v>
      </c>
      <c r="CA12" s="29" t="str">
        <f t="shared" si="0"/>
        <v/>
      </c>
    </row>
    <row r="13" spans="1:79" ht="14.5">
      <c r="A13" s="22">
        <v>5</v>
      </c>
      <c r="B13" s="23">
        <f>BIODATA!B28</f>
        <v>0</v>
      </c>
      <c r="C13" s="23">
        <f>BIODATA!C28</f>
        <v>0</v>
      </c>
      <c r="D13" s="24" t="str">
        <f>BIODATA!D28</f>
        <v>ALVAREZA SETIA ANGGARA</v>
      </c>
      <c r="E13" s="23" t="str">
        <f>BIODATA!H28</f>
        <v>L</v>
      </c>
      <c r="F13" s="22" t="str">
        <f>BIODATA!E28</f>
        <v>X TKR 1</v>
      </c>
      <c r="G13" s="25">
        <v>85</v>
      </c>
      <c r="H13" s="25"/>
      <c r="I13" s="25"/>
      <c r="J13" s="25"/>
      <c r="K13" s="25"/>
      <c r="L13" s="26">
        <f t="shared" si="1"/>
        <v>85</v>
      </c>
      <c r="M13" s="25">
        <v>78</v>
      </c>
      <c r="N13" s="25"/>
      <c r="O13" s="25"/>
      <c r="P13" s="25"/>
      <c r="Q13" s="25"/>
      <c r="R13" s="27">
        <f t="shared" si="2"/>
        <v>78</v>
      </c>
      <c r="S13" s="25">
        <v>80</v>
      </c>
      <c r="T13" s="25"/>
      <c r="U13" s="25"/>
      <c r="V13" s="25"/>
      <c r="W13" s="25"/>
      <c r="X13" s="26">
        <f t="shared" si="3"/>
        <v>80</v>
      </c>
      <c r="Y13" s="25">
        <v>86</v>
      </c>
      <c r="Z13" s="25"/>
      <c r="AA13" s="25"/>
      <c r="AB13" s="25"/>
      <c r="AC13" s="27">
        <f t="shared" si="4"/>
        <v>86</v>
      </c>
      <c r="AD13" s="25">
        <v>87</v>
      </c>
      <c r="AE13" s="25"/>
      <c r="AF13" s="25"/>
      <c r="AG13" s="25"/>
      <c r="AH13" s="26">
        <f t="shared" si="5"/>
        <v>87</v>
      </c>
      <c r="AI13" s="25">
        <v>85</v>
      </c>
      <c r="AJ13" s="25"/>
      <c r="AK13" s="27">
        <f t="shared" si="6"/>
        <v>85</v>
      </c>
      <c r="AL13" s="28">
        <v>85</v>
      </c>
      <c r="AM13" s="28"/>
      <c r="AN13" s="28"/>
      <c r="AO13" s="28"/>
      <c r="AP13" s="28"/>
      <c r="AQ13" s="26">
        <f t="shared" si="7"/>
        <v>85</v>
      </c>
      <c r="AR13" s="28">
        <v>79</v>
      </c>
      <c r="AS13" s="28"/>
      <c r="AT13" s="28"/>
      <c r="AU13" s="28"/>
      <c r="AV13" s="28"/>
      <c r="AW13" s="27">
        <f t="shared" si="8"/>
        <v>79</v>
      </c>
      <c r="AX13" s="28">
        <v>82</v>
      </c>
      <c r="AY13" s="28"/>
      <c r="AZ13" s="28"/>
      <c r="BA13" s="28"/>
      <c r="BB13" s="28"/>
      <c r="BC13" s="26">
        <f t="shared" si="9"/>
        <v>82</v>
      </c>
      <c r="BD13" s="28">
        <v>88.333333333333343</v>
      </c>
      <c r="BE13" s="28"/>
      <c r="BF13" s="27">
        <f t="shared" si="10"/>
        <v>88.333333333333343</v>
      </c>
      <c r="BG13" s="28">
        <v>81</v>
      </c>
      <c r="BH13" s="28"/>
      <c r="BI13" s="26">
        <f t="shared" si="11"/>
        <v>81</v>
      </c>
      <c r="BJ13" s="28">
        <v>88.333333333333343</v>
      </c>
      <c r="BK13" s="28"/>
      <c r="BL13" s="27">
        <f t="shared" si="12"/>
        <v>88.333333333333343</v>
      </c>
      <c r="BM13" s="28"/>
      <c r="BN13" s="28"/>
      <c r="BO13" s="28"/>
      <c r="BP13" s="26" t="e">
        <f t="shared" si="13"/>
        <v>#DIV/0!</v>
      </c>
      <c r="BQ13" s="28"/>
      <c r="BR13" s="28"/>
      <c r="BS13" s="28"/>
      <c r="BT13" s="27" t="e">
        <f t="shared" si="14"/>
        <v>#DIV/0!</v>
      </c>
      <c r="BU13" s="28"/>
      <c r="BV13" s="26">
        <f t="shared" si="15"/>
        <v>0</v>
      </c>
      <c r="BW13" s="27"/>
      <c r="BX13" s="28"/>
      <c r="BY13" s="28"/>
      <c r="BZ13" s="27" t="e">
        <f t="shared" si="16"/>
        <v>#DIV/0!</v>
      </c>
      <c r="CA13" s="29" t="str">
        <f t="shared" si="0"/>
        <v/>
      </c>
    </row>
    <row r="14" spans="1:79" ht="14.5">
      <c r="A14" s="22">
        <v>6</v>
      </c>
      <c r="B14" s="23">
        <f>BIODATA!B29</f>
        <v>0</v>
      </c>
      <c r="C14" s="23">
        <f>BIODATA!C29</f>
        <v>0</v>
      </c>
      <c r="D14" s="24" t="str">
        <f>BIODATA!D29</f>
        <v>ARSYAD ADITIA WIYONO</v>
      </c>
      <c r="E14" s="23" t="str">
        <f>BIODATA!H29</f>
        <v>L</v>
      </c>
      <c r="F14" s="22" t="str">
        <f>BIODATA!E29</f>
        <v>X TKR 1</v>
      </c>
      <c r="G14" s="25">
        <v>83</v>
      </c>
      <c r="H14" s="25"/>
      <c r="I14" s="25"/>
      <c r="J14" s="25"/>
      <c r="K14" s="25"/>
      <c r="L14" s="26">
        <f t="shared" si="1"/>
        <v>83</v>
      </c>
      <c r="M14" s="25">
        <v>88</v>
      </c>
      <c r="N14" s="25"/>
      <c r="O14" s="25"/>
      <c r="P14" s="25"/>
      <c r="Q14" s="25"/>
      <c r="R14" s="27">
        <f t="shared" si="2"/>
        <v>88</v>
      </c>
      <c r="S14" s="25">
        <v>82</v>
      </c>
      <c r="T14" s="25"/>
      <c r="U14" s="25"/>
      <c r="V14" s="25"/>
      <c r="W14" s="25"/>
      <c r="X14" s="26">
        <f t="shared" si="3"/>
        <v>82</v>
      </c>
      <c r="Y14" s="25">
        <v>87</v>
      </c>
      <c r="Z14" s="25"/>
      <c r="AA14" s="25"/>
      <c r="AB14" s="25"/>
      <c r="AC14" s="27">
        <f t="shared" si="4"/>
        <v>87</v>
      </c>
      <c r="AD14" s="25">
        <v>85</v>
      </c>
      <c r="AE14" s="25"/>
      <c r="AF14" s="25"/>
      <c r="AG14" s="25"/>
      <c r="AH14" s="26">
        <f t="shared" si="5"/>
        <v>85</v>
      </c>
      <c r="AI14" s="25">
        <v>80</v>
      </c>
      <c r="AJ14" s="25"/>
      <c r="AK14" s="27">
        <f t="shared" si="6"/>
        <v>80</v>
      </c>
      <c r="AL14" s="28">
        <v>83</v>
      </c>
      <c r="AM14" s="28"/>
      <c r="AN14" s="28"/>
      <c r="AO14" s="28"/>
      <c r="AP14" s="28"/>
      <c r="AQ14" s="26">
        <f t="shared" si="7"/>
        <v>83</v>
      </c>
      <c r="AR14" s="28">
        <v>80</v>
      </c>
      <c r="AS14" s="28"/>
      <c r="AT14" s="28"/>
      <c r="AU14" s="28"/>
      <c r="AV14" s="28"/>
      <c r="AW14" s="27">
        <f t="shared" si="8"/>
        <v>80</v>
      </c>
      <c r="AX14" s="28">
        <v>78</v>
      </c>
      <c r="AY14" s="28"/>
      <c r="AZ14" s="28"/>
      <c r="BA14" s="28"/>
      <c r="BB14" s="28"/>
      <c r="BC14" s="26">
        <f t="shared" si="9"/>
        <v>78</v>
      </c>
      <c r="BD14" s="28">
        <v>82.666666666666657</v>
      </c>
      <c r="BE14" s="28"/>
      <c r="BF14" s="27">
        <f t="shared" si="10"/>
        <v>82.666666666666657</v>
      </c>
      <c r="BG14" s="28">
        <v>81</v>
      </c>
      <c r="BH14" s="28"/>
      <c r="BI14" s="26">
        <f t="shared" si="11"/>
        <v>81</v>
      </c>
      <c r="BJ14" s="28">
        <v>82.666666666666657</v>
      </c>
      <c r="BK14" s="28"/>
      <c r="BL14" s="27">
        <f t="shared" si="12"/>
        <v>82.666666666666657</v>
      </c>
      <c r="BM14" s="28"/>
      <c r="BN14" s="28"/>
      <c r="BO14" s="28"/>
      <c r="BP14" s="26" t="e">
        <f t="shared" si="13"/>
        <v>#DIV/0!</v>
      </c>
      <c r="BQ14" s="28"/>
      <c r="BR14" s="28"/>
      <c r="BS14" s="28"/>
      <c r="BT14" s="27" t="e">
        <f t="shared" si="14"/>
        <v>#DIV/0!</v>
      </c>
      <c r="BU14" s="28"/>
      <c r="BV14" s="26">
        <f t="shared" si="15"/>
        <v>0</v>
      </c>
      <c r="BW14" s="27"/>
      <c r="BX14" s="28"/>
      <c r="BY14" s="28"/>
      <c r="BZ14" s="27" t="e">
        <f t="shared" si="16"/>
        <v>#DIV/0!</v>
      </c>
      <c r="CA14" s="29" t="str">
        <f t="shared" si="0"/>
        <v/>
      </c>
    </row>
    <row r="15" spans="1:79" ht="14.5">
      <c r="A15" s="22">
        <v>7</v>
      </c>
      <c r="B15" s="23">
        <f>BIODATA!B30</f>
        <v>0</v>
      </c>
      <c r="C15" s="23">
        <f>BIODATA!C30</f>
        <v>0</v>
      </c>
      <c r="D15" s="24" t="str">
        <f>BIODATA!D30</f>
        <v>AULIYA ROHMAN AL BAIHAQI</v>
      </c>
      <c r="E15" s="23" t="str">
        <f>BIODATA!H30</f>
        <v>L</v>
      </c>
      <c r="F15" s="22" t="str">
        <f>BIODATA!E30</f>
        <v>X TKR 1</v>
      </c>
      <c r="G15" s="25">
        <v>84</v>
      </c>
      <c r="H15" s="25"/>
      <c r="I15" s="25"/>
      <c r="J15" s="25"/>
      <c r="K15" s="25"/>
      <c r="L15" s="26">
        <f t="shared" si="1"/>
        <v>84</v>
      </c>
      <c r="M15" s="25">
        <v>78</v>
      </c>
      <c r="N15" s="25"/>
      <c r="O15" s="25"/>
      <c r="P15" s="25"/>
      <c r="Q15" s="25"/>
      <c r="R15" s="27">
        <f t="shared" si="2"/>
        <v>78</v>
      </c>
      <c r="S15" s="25">
        <v>82</v>
      </c>
      <c r="T15" s="25"/>
      <c r="U15" s="25"/>
      <c r="V15" s="25"/>
      <c r="W15" s="25"/>
      <c r="X15" s="26">
        <f t="shared" si="3"/>
        <v>82</v>
      </c>
      <c r="Y15" s="25">
        <v>89</v>
      </c>
      <c r="Z15" s="25"/>
      <c r="AA15" s="25"/>
      <c r="AB15" s="25"/>
      <c r="AC15" s="27">
        <f t="shared" si="4"/>
        <v>89</v>
      </c>
      <c r="AD15" s="25">
        <v>86</v>
      </c>
      <c r="AE15" s="25"/>
      <c r="AF15" s="25"/>
      <c r="AG15" s="25"/>
      <c r="AH15" s="26">
        <f t="shared" si="5"/>
        <v>86</v>
      </c>
      <c r="AI15" s="25">
        <v>80</v>
      </c>
      <c r="AJ15" s="25"/>
      <c r="AK15" s="27">
        <f t="shared" si="6"/>
        <v>80</v>
      </c>
      <c r="AL15" s="28">
        <v>84</v>
      </c>
      <c r="AM15" s="28"/>
      <c r="AN15" s="28"/>
      <c r="AO15" s="28"/>
      <c r="AP15" s="28"/>
      <c r="AQ15" s="26">
        <f t="shared" si="7"/>
        <v>84</v>
      </c>
      <c r="AR15" s="28">
        <v>80</v>
      </c>
      <c r="AS15" s="28"/>
      <c r="AT15" s="28"/>
      <c r="AU15" s="28"/>
      <c r="AV15" s="28"/>
      <c r="AW15" s="27">
        <f t="shared" si="8"/>
        <v>80</v>
      </c>
      <c r="AX15" s="28">
        <v>79</v>
      </c>
      <c r="AY15" s="28"/>
      <c r="AZ15" s="28"/>
      <c r="BA15" s="28"/>
      <c r="BB15" s="28"/>
      <c r="BC15" s="26">
        <f t="shared" si="9"/>
        <v>79</v>
      </c>
      <c r="BD15" s="28">
        <v>78</v>
      </c>
      <c r="BE15" s="28"/>
      <c r="BF15" s="27">
        <f t="shared" si="10"/>
        <v>78</v>
      </c>
      <c r="BG15" s="28">
        <v>81</v>
      </c>
      <c r="BH15" s="28"/>
      <c r="BI15" s="26">
        <f t="shared" si="11"/>
        <v>81</v>
      </c>
      <c r="BJ15" s="28">
        <v>78</v>
      </c>
      <c r="BK15" s="28"/>
      <c r="BL15" s="27">
        <f t="shared" si="12"/>
        <v>78</v>
      </c>
      <c r="BM15" s="28"/>
      <c r="BN15" s="28"/>
      <c r="BO15" s="28"/>
      <c r="BP15" s="26" t="e">
        <f t="shared" si="13"/>
        <v>#DIV/0!</v>
      </c>
      <c r="BQ15" s="28"/>
      <c r="BR15" s="28"/>
      <c r="BS15" s="28"/>
      <c r="BT15" s="27" t="e">
        <f t="shared" si="14"/>
        <v>#DIV/0!</v>
      </c>
      <c r="BU15" s="28"/>
      <c r="BV15" s="26">
        <f t="shared" si="15"/>
        <v>0</v>
      </c>
      <c r="BW15" s="27"/>
      <c r="BX15" s="28"/>
      <c r="BY15" s="28"/>
      <c r="BZ15" s="27" t="e">
        <f t="shared" si="16"/>
        <v>#DIV/0!</v>
      </c>
      <c r="CA15" s="29" t="str">
        <f t="shared" si="0"/>
        <v/>
      </c>
    </row>
    <row r="16" spans="1:79" ht="14.5">
      <c r="A16" s="22">
        <v>8</v>
      </c>
      <c r="B16" s="23">
        <f>BIODATA!B31</f>
        <v>0</v>
      </c>
      <c r="C16" s="23">
        <f>BIODATA!C31</f>
        <v>0</v>
      </c>
      <c r="D16" s="24" t="str">
        <f>BIODATA!D31</f>
        <v>AZIZUL HILMI FIRDAUS</v>
      </c>
      <c r="E16" s="23" t="str">
        <f>BIODATA!H31</f>
        <v>L</v>
      </c>
      <c r="F16" s="22" t="str">
        <f>BIODATA!E31</f>
        <v>X TKR 1</v>
      </c>
      <c r="G16" s="25">
        <v>85</v>
      </c>
      <c r="H16" s="25"/>
      <c r="I16" s="25"/>
      <c r="J16" s="25"/>
      <c r="K16" s="25"/>
      <c r="L16" s="26">
        <f t="shared" si="1"/>
        <v>85</v>
      </c>
      <c r="M16" s="25">
        <v>78</v>
      </c>
      <c r="N16" s="25"/>
      <c r="O16" s="25"/>
      <c r="P16" s="25"/>
      <c r="Q16" s="25"/>
      <c r="R16" s="27">
        <f t="shared" si="2"/>
        <v>78</v>
      </c>
      <c r="S16" s="25">
        <v>82</v>
      </c>
      <c r="T16" s="25"/>
      <c r="U16" s="25"/>
      <c r="V16" s="25"/>
      <c r="W16" s="25"/>
      <c r="X16" s="26">
        <f t="shared" si="3"/>
        <v>82</v>
      </c>
      <c r="Y16" s="25">
        <v>87</v>
      </c>
      <c r="Z16" s="25"/>
      <c r="AA16" s="25"/>
      <c r="AB16" s="25"/>
      <c r="AC16" s="27">
        <f t="shared" si="4"/>
        <v>87</v>
      </c>
      <c r="AD16" s="25">
        <v>87</v>
      </c>
      <c r="AE16" s="25"/>
      <c r="AF16" s="25"/>
      <c r="AG16" s="25"/>
      <c r="AH16" s="26">
        <f t="shared" si="5"/>
        <v>87</v>
      </c>
      <c r="AI16" s="25">
        <v>90</v>
      </c>
      <c r="AJ16" s="25"/>
      <c r="AK16" s="27">
        <f t="shared" si="6"/>
        <v>90</v>
      </c>
      <c r="AL16" s="28">
        <v>85</v>
      </c>
      <c r="AM16" s="28"/>
      <c r="AN16" s="28"/>
      <c r="AO16" s="28"/>
      <c r="AP16" s="28"/>
      <c r="AQ16" s="26">
        <f t="shared" si="7"/>
        <v>85</v>
      </c>
      <c r="AR16" s="28">
        <v>79</v>
      </c>
      <c r="AS16" s="28"/>
      <c r="AT16" s="28"/>
      <c r="AU16" s="28"/>
      <c r="AV16" s="28"/>
      <c r="AW16" s="27">
        <f t="shared" si="8"/>
        <v>79</v>
      </c>
      <c r="AX16" s="28">
        <v>79</v>
      </c>
      <c r="AY16" s="28"/>
      <c r="AZ16" s="28"/>
      <c r="BA16" s="28"/>
      <c r="BB16" s="28"/>
      <c r="BC16" s="26">
        <f t="shared" si="9"/>
        <v>79</v>
      </c>
      <c r="BD16" s="28">
        <v>78</v>
      </c>
      <c r="BE16" s="28"/>
      <c r="BF16" s="27">
        <f t="shared" si="10"/>
        <v>78</v>
      </c>
      <c r="BG16" s="28">
        <v>82</v>
      </c>
      <c r="BH16" s="28"/>
      <c r="BI16" s="26">
        <f t="shared" si="11"/>
        <v>82</v>
      </c>
      <c r="BJ16" s="28">
        <v>78</v>
      </c>
      <c r="BK16" s="28"/>
      <c r="BL16" s="27">
        <f t="shared" si="12"/>
        <v>78</v>
      </c>
      <c r="BM16" s="28"/>
      <c r="BN16" s="28"/>
      <c r="BO16" s="28"/>
      <c r="BP16" s="26" t="e">
        <f t="shared" si="13"/>
        <v>#DIV/0!</v>
      </c>
      <c r="BQ16" s="28"/>
      <c r="BR16" s="28"/>
      <c r="BS16" s="28"/>
      <c r="BT16" s="27" t="e">
        <f t="shared" si="14"/>
        <v>#DIV/0!</v>
      </c>
      <c r="BU16" s="28"/>
      <c r="BV16" s="26">
        <f t="shared" si="15"/>
        <v>0</v>
      </c>
      <c r="BW16" s="27"/>
      <c r="BX16" s="28"/>
      <c r="BY16" s="28"/>
      <c r="BZ16" s="27" t="e">
        <f t="shared" si="16"/>
        <v>#DIV/0!</v>
      </c>
      <c r="CA16" s="29" t="str">
        <f t="shared" si="0"/>
        <v/>
      </c>
    </row>
    <row r="17" spans="1:79" ht="14.5">
      <c r="A17" s="22">
        <v>9</v>
      </c>
      <c r="B17" s="23">
        <f>BIODATA!B32</f>
        <v>0</v>
      </c>
      <c r="C17" s="23">
        <f>BIODATA!C32</f>
        <v>0</v>
      </c>
      <c r="D17" s="24" t="str">
        <f>BIODATA!D32</f>
        <v>DENILSEN ZAUSA OCTAVIANUS HERMANTO</v>
      </c>
      <c r="E17" s="23" t="str">
        <f>BIODATA!H32</f>
        <v>L</v>
      </c>
      <c r="F17" s="22" t="str">
        <f>BIODATA!E32</f>
        <v>X TKR 1</v>
      </c>
      <c r="G17" s="25">
        <v>80</v>
      </c>
      <c r="H17" s="25"/>
      <c r="I17" s="25"/>
      <c r="J17" s="25"/>
      <c r="K17" s="25"/>
      <c r="L17" s="26">
        <f t="shared" si="1"/>
        <v>80</v>
      </c>
      <c r="M17" s="25">
        <v>78</v>
      </c>
      <c r="N17" s="25"/>
      <c r="O17" s="25"/>
      <c r="P17" s="25"/>
      <c r="Q17" s="25"/>
      <c r="R17" s="27">
        <f t="shared" si="2"/>
        <v>78</v>
      </c>
      <c r="S17" s="25">
        <v>82</v>
      </c>
      <c r="T17" s="25"/>
      <c r="U17" s="25"/>
      <c r="V17" s="25"/>
      <c r="W17" s="25"/>
      <c r="X17" s="26">
        <f t="shared" si="3"/>
        <v>82</v>
      </c>
      <c r="Y17" s="25">
        <v>88</v>
      </c>
      <c r="Z17" s="25"/>
      <c r="AA17" s="25"/>
      <c r="AB17" s="25"/>
      <c r="AC17" s="27">
        <f t="shared" si="4"/>
        <v>88</v>
      </c>
      <c r="AD17" s="25">
        <v>82</v>
      </c>
      <c r="AE17" s="25"/>
      <c r="AF17" s="25"/>
      <c r="AG17" s="25"/>
      <c r="AH17" s="26">
        <f t="shared" si="5"/>
        <v>82</v>
      </c>
      <c r="AI17" s="25">
        <v>85</v>
      </c>
      <c r="AJ17" s="25"/>
      <c r="AK17" s="27">
        <f t="shared" si="6"/>
        <v>85</v>
      </c>
      <c r="AL17" s="28">
        <v>80</v>
      </c>
      <c r="AM17" s="28"/>
      <c r="AN17" s="28"/>
      <c r="AO17" s="28"/>
      <c r="AP17" s="28"/>
      <c r="AQ17" s="26">
        <f t="shared" si="7"/>
        <v>80</v>
      </c>
      <c r="AR17" s="28">
        <v>79</v>
      </c>
      <c r="AS17" s="28"/>
      <c r="AT17" s="28"/>
      <c r="AU17" s="28"/>
      <c r="AV17" s="28"/>
      <c r="AW17" s="27">
        <f t="shared" si="8"/>
        <v>79</v>
      </c>
      <c r="AX17" s="28">
        <v>80</v>
      </c>
      <c r="AY17" s="28"/>
      <c r="AZ17" s="28"/>
      <c r="BA17" s="28"/>
      <c r="BB17" s="28"/>
      <c r="BC17" s="26">
        <f t="shared" si="9"/>
        <v>80</v>
      </c>
      <c r="BD17" s="28">
        <v>78</v>
      </c>
      <c r="BE17" s="28"/>
      <c r="BF17" s="27">
        <f t="shared" si="10"/>
        <v>78</v>
      </c>
      <c r="BG17" s="28">
        <v>82</v>
      </c>
      <c r="BH17" s="28"/>
      <c r="BI17" s="26">
        <f t="shared" si="11"/>
        <v>82</v>
      </c>
      <c r="BJ17" s="28">
        <v>78</v>
      </c>
      <c r="BK17" s="28"/>
      <c r="BL17" s="27">
        <f t="shared" si="12"/>
        <v>78</v>
      </c>
      <c r="BM17" s="28"/>
      <c r="BN17" s="28"/>
      <c r="BO17" s="28"/>
      <c r="BP17" s="26" t="e">
        <f t="shared" si="13"/>
        <v>#DIV/0!</v>
      </c>
      <c r="BQ17" s="28"/>
      <c r="BR17" s="28"/>
      <c r="BS17" s="28"/>
      <c r="BT17" s="27" t="e">
        <f t="shared" si="14"/>
        <v>#DIV/0!</v>
      </c>
      <c r="BU17" s="28"/>
      <c r="BV17" s="26">
        <f t="shared" si="15"/>
        <v>0</v>
      </c>
      <c r="BW17" s="27"/>
      <c r="BX17" s="28"/>
      <c r="BY17" s="28"/>
      <c r="BZ17" s="27" t="e">
        <f t="shared" si="16"/>
        <v>#DIV/0!</v>
      </c>
      <c r="CA17" s="29" t="str">
        <f t="shared" si="0"/>
        <v/>
      </c>
    </row>
    <row r="18" spans="1:79" ht="14.5">
      <c r="A18" s="22">
        <v>10</v>
      </c>
      <c r="B18" s="23">
        <f>BIODATA!B33</f>
        <v>0</v>
      </c>
      <c r="C18" s="23">
        <f>BIODATA!C33</f>
        <v>0</v>
      </c>
      <c r="D18" s="24" t="str">
        <f>BIODATA!D33</f>
        <v>FAJAR MAS'UD ALAMSYAH</v>
      </c>
      <c r="E18" s="23" t="str">
        <f>BIODATA!H33</f>
        <v>L</v>
      </c>
      <c r="F18" s="22" t="str">
        <f>BIODATA!E33</f>
        <v>X TKR 1</v>
      </c>
      <c r="G18" s="25">
        <v>85</v>
      </c>
      <c r="H18" s="25"/>
      <c r="I18" s="25"/>
      <c r="J18" s="25"/>
      <c r="K18" s="25"/>
      <c r="L18" s="26">
        <f t="shared" si="1"/>
        <v>85</v>
      </c>
      <c r="M18" s="25">
        <v>95</v>
      </c>
      <c r="N18" s="25"/>
      <c r="O18" s="25"/>
      <c r="P18" s="25"/>
      <c r="Q18" s="25"/>
      <c r="R18" s="27">
        <f t="shared" si="2"/>
        <v>95</v>
      </c>
      <c r="S18" s="25">
        <v>80</v>
      </c>
      <c r="T18" s="25"/>
      <c r="U18" s="25"/>
      <c r="V18" s="25"/>
      <c r="W18" s="25"/>
      <c r="X18" s="26">
        <f t="shared" si="3"/>
        <v>80</v>
      </c>
      <c r="Y18" s="25">
        <v>87</v>
      </c>
      <c r="Z18" s="25"/>
      <c r="AA18" s="25"/>
      <c r="AB18" s="25"/>
      <c r="AC18" s="27">
        <f t="shared" si="4"/>
        <v>87</v>
      </c>
      <c r="AD18" s="25">
        <v>87</v>
      </c>
      <c r="AE18" s="25"/>
      <c r="AF18" s="25"/>
      <c r="AG18" s="25"/>
      <c r="AH18" s="26">
        <f t="shared" si="5"/>
        <v>87</v>
      </c>
      <c r="AI18" s="25">
        <v>80</v>
      </c>
      <c r="AJ18" s="25"/>
      <c r="AK18" s="27">
        <f t="shared" si="6"/>
        <v>80</v>
      </c>
      <c r="AL18" s="28">
        <v>85</v>
      </c>
      <c r="AM18" s="28"/>
      <c r="AN18" s="28"/>
      <c r="AO18" s="28"/>
      <c r="AP18" s="28"/>
      <c r="AQ18" s="26">
        <f t="shared" si="7"/>
        <v>85</v>
      </c>
      <c r="AR18" s="28">
        <v>79</v>
      </c>
      <c r="AS18" s="28"/>
      <c r="AT18" s="28"/>
      <c r="AU18" s="28"/>
      <c r="AV18" s="28"/>
      <c r="AW18" s="27">
        <f t="shared" si="8"/>
        <v>79</v>
      </c>
      <c r="AX18" s="28">
        <v>85</v>
      </c>
      <c r="AY18" s="28"/>
      <c r="AZ18" s="28"/>
      <c r="BA18" s="28"/>
      <c r="BB18" s="28"/>
      <c r="BC18" s="26">
        <f t="shared" si="9"/>
        <v>85</v>
      </c>
      <c r="BD18" s="28">
        <v>86.333333333333343</v>
      </c>
      <c r="BE18" s="28"/>
      <c r="BF18" s="27">
        <f t="shared" si="10"/>
        <v>86.333333333333343</v>
      </c>
      <c r="BG18" s="28">
        <v>82</v>
      </c>
      <c r="BH18" s="28"/>
      <c r="BI18" s="26">
        <f t="shared" si="11"/>
        <v>82</v>
      </c>
      <c r="BJ18" s="28">
        <v>86.333333333333343</v>
      </c>
      <c r="BK18" s="28"/>
      <c r="BL18" s="27">
        <f t="shared" si="12"/>
        <v>86.333333333333343</v>
      </c>
      <c r="BM18" s="28"/>
      <c r="BN18" s="28"/>
      <c r="BO18" s="28"/>
      <c r="BP18" s="26" t="e">
        <f t="shared" si="13"/>
        <v>#DIV/0!</v>
      </c>
      <c r="BQ18" s="28"/>
      <c r="BR18" s="28"/>
      <c r="BS18" s="28"/>
      <c r="BT18" s="27" t="e">
        <f t="shared" si="14"/>
        <v>#DIV/0!</v>
      </c>
      <c r="BU18" s="28"/>
      <c r="BV18" s="26">
        <f t="shared" si="15"/>
        <v>0</v>
      </c>
      <c r="BW18" s="27"/>
      <c r="BX18" s="28"/>
      <c r="BY18" s="28"/>
      <c r="BZ18" s="27" t="e">
        <f t="shared" si="16"/>
        <v>#DIV/0!</v>
      </c>
      <c r="CA18" s="29" t="str">
        <f t="shared" si="0"/>
        <v/>
      </c>
    </row>
    <row r="19" spans="1:79" ht="14.5">
      <c r="A19" s="22">
        <v>11</v>
      </c>
      <c r="B19" s="23">
        <f>BIODATA!B34</f>
        <v>0</v>
      </c>
      <c r="C19" s="23">
        <f>BIODATA!C34</f>
        <v>0</v>
      </c>
      <c r="D19" s="24" t="str">
        <f>BIODATA!D34</f>
        <v>JEFRI ALIF SUHENDRIK</v>
      </c>
      <c r="E19" s="23" t="str">
        <f>BIODATA!H34</f>
        <v>L</v>
      </c>
      <c r="F19" s="22" t="str">
        <f>BIODATA!E34</f>
        <v>X TKR 1</v>
      </c>
      <c r="G19" s="25"/>
      <c r="H19" s="25"/>
      <c r="I19" s="25"/>
      <c r="J19" s="25"/>
      <c r="K19" s="25"/>
      <c r="L19" s="26" t="e">
        <f t="shared" si="1"/>
        <v>#DIV/0!</v>
      </c>
      <c r="M19" s="25">
        <v>78</v>
      </c>
      <c r="N19" s="25"/>
      <c r="O19" s="25"/>
      <c r="P19" s="25"/>
      <c r="Q19" s="25"/>
      <c r="R19" s="27">
        <f t="shared" si="2"/>
        <v>78</v>
      </c>
      <c r="S19" s="25">
        <v>81</v>
      </c>
      <c r="T19" s="25"/>
      <c r="U19" s="25"/>
      <c r="V19" s="25"/>
      <c r="W19" s="25"/>
      <c r="X19" s="26">
        <f t="shared" si="3"/>
        <v>81</v>
      </c>
      <c r="Y19" s="25">
        <v>85</v>
      </c>
      <c r="Z19" s="25"/>
      <c r="AA19" s="25"/>
      <c r="AB19" s="25"/>
      <c r="AC19" s="27">
        <f t="shared" si="4"/>
        <v>85</v>
      </c>
      <c r="AD19" s="25"/>
      <c r="AE19" s="25"/>
      <c r="AF19" s="25"/>
      <c r="AG19" s="25"/>
      <c r="AH19" s="26" t="e">
        <f t="shared" si="5"/>
        <v>#DIV/0!</v>
      </c>
      <c r="AI19" s="25">
        <v>80</v>
      </c>
      <c r="AJ19" s="25"/>
      <c r="AK19" s="27">
        <f t="shared" si="6"/>
        <v>80</v>
      </c>
      <c r="AL19" s="28"/>
      <c r="AM19" s="28"/>
      <c r="AN19" s="28"/>
      <c r="AO19" s="28"/>
      <c r="AP19" s="28"/>
      <c r="AQ19" s="26" t="e">
        <f t="shared" si="7"/>
        <v>#DIV/0!</v>
      </c>
      <c r="AR19" s="28">
        <v>70</v>
      </c>
      <c r="AS19" s="28"/>
      <c r="AT19" s="28"/>
      <c r="AU19" s="28"/>
      <c r="AV19" s="28"/>
      <c r="AW19" s="27">
        <f t="shared" si="8"/>
        <v>70</v>
      </c>
      <c r="AX19" s="28">
        <v>78</v>
      </c>
      <c r="AY19" s="28"/>
      <c r="AZ19" s="28"/>
      <c r="BA19" s="28"/>
      <c r="BB19" s="28"/>
      <c r="BC19" s="26">
        <f t="shared" si="9"/>
        <v>78</v>
      </c>
      <c r="BD19" s="28">
        <v>78</v>
      </c>
      <c r="BE19" s="28"/>
      <c r="BF19" s="27">
        <f t="shared" si="10"/>
        <v>78</v>
      </c>
      <c r="BG19" s="28">
        <v>80</v>
      </c>
      <c r="BH19" s="28"/>
      <c r="BI19" s="26">
        <f t="shared" si="11"/>
        <v>80</v>
      </c>
      <c r="BJ19" s="28">
        <v>78</v>
      </c>
      <c r="BK19" s="28"/>
      <c r="BL19" s="27">
        <f t="shared" si="12"/>
        <v>78</v>
      </c>
      <c r="BM19" s="28"/>
      <c r="BN19" s="28"/>
      <c r="BO19" s="28"/>
      <c r="BP19" s="26" t="e">
        <f t="shared" si="13"/>
        <v>#DIV/0!</v>
      </c>
      <c r="BQ19" s="28"/>
      <c r="BR19" s="28"/>
      <c r="BS19" s="28"/>
      <c r="BT19" s="27" t="e">
        <f t="shared" si="14"/>
        <v>#DIV/0!</v>
      </c>
      <c r="BU19" s="28"/>
      <c r="BV19" s="26">
        <f t="shared" si="15"/>
        <v>0</v>
      </c>
      <c r="BW19" s="27"/>
      <c r="BX19" s="28"/>
      <c r="BY19" s="28"/>
      <c r="BZ19" s="27" t="e">
        <f t="shared" si="16"/>
        <v>#DIV/0!</v>
      </c>
      <c r="CA19" s="29" t="str">
        <f t="shared" si="0"/>
        <v/>
      </c>
    </row>
    <row r="20" spans="1:79" ht="14.5">
      <c r="A20" s="22">
        <v>12</v>
      </c>
      <c r="B20" s="23">
        <f>BIODATA!B35</f>
        <v>0</v>
      </c>
      <c r="C20" s="23">
        <f>BIODATA!C35</f>
        <v>0</v>
      </c>
      <c r="D20" s="24" t="str">
        <f>BIODATA!D35</f>
        <v>KRISNA DWI PUTRA</v>
      </c>
      <c r="E20" s="23" t="str">
        <f>BIODATA!H35</f>
        <v>L</v>
      </c>
      <c r="F20" s="22" t="str">
        <f>BIODATA!E35</f>
        <v>X TKR 1</v>
      </c>
      <c r="G20" s="25">
        <v>89</v>
      </c>
      <c r="H20" s="25"/>
      <c r="I20" s="25"/>
      <c r="J20" s="25"/>
      <c r="K20" s="25"/>
      <c r="L20" s="26">
        <f t="shared" si="1"/>
        <v>89</v>
      </c>
      <c r="M20" s="25">
        <v>99</v>
      </c>
      <c r="N20" s="25"/>
      <c r="O20" s="25"/>
      <c r="P20" s="25"/>
      <c r="Q20" s="25"/>
      <c r="R20" s="27">
        <f t="shared" si="2"/>
        <v>99</v>
      </c>
      <c r="S20" s="25">
        <v>80</v>
      </c>
      <c r="T20" s="25"/>
      <c r="U20" s="25"/>
      <c r="V20" s="25"/>
      <c r="W20" s="25"/>
      <c r="X20" s="26">
        <f t="shared" si="3"/>
        <v>80</v>
      </c>
      <c r="Y20" s="25">
        <v>87</v>
      </c>
      <c r="Z20" s="25"/>
      <c r="AA20" s="25"/>
      <c r="AB20" s="25"/>
      <c r="AC20" s="27">
        <f t="shared" si="4"/>
        <v>87</v>
      </c>
      <c r="AD20" s="25">
        <v>91</v>
      </c>
      <c r="AE20" s="25"/>
      <c r="AF20" s="25"/>
      <c r="AG20" s="25"/>
      <c r="AH20" s="26">
        <f t="shared" si="5"/>
        <v>91</v>
      </c>
      <c r="AI20" s="25">
        <v>80</v>
      </c>
      <c r="AJ20" s="25"/>
      <c r="AK20" s="27">
        <f t="shared" si="6"/>
        <v>80</v>
      </c>
      <c r="AL20" s="28">
        <v>89</v>
      </c>
      <c r="AM20" s="28"/>
      <c r="AN20" s="28"/>
      <c r="AO20" s="28"/>
      <c r="AP20" s="28"/>
      <c r="AQ20" s="26">
        <f t="shared" si="7"/>
        <v>89</v>
      </c>
      <c r="AR20" s="28">
        <v>79</v>
      </c>
      <c r="AS20" s="28"/>
      <c r="AT20" s="28"/>
      <c r="AU20" s="28"/>
      <c r="AV20" s="28"/>
      <c r="AW20" s="27">
        <f t="shared" si="8"/>
        <v>79</v>
      </c>
      <c r="AX20" s="28">
        <v>85</v>
      </c>
      <c r="AY20" s="28"/>
      <c r="AZ20" s="28"/>
      <c r="BA20" s="28"/>
      <c r="BB20" s="28"/>
      <c r="BC20" s="26">
        <f t="shared" si="9"/>
        <v>85</v>
      </c>
      <c r="BD20" s="28">
        <v>86.333333333333343</v>
      </c>
      <c r="BE20" s="28"/>
      <c r="BF20" s="27">
        <f t="shared" si="10"/>
        <v>86.333333333333343</v>
      </c>
      <c r="BG20" s="28">
        <v>82</v>
      </c>
      <c r="BH20" s="28"/>
      <c r="BI20" s="26">
        <f t="shared" si="11"/>
        <v>82</v>
      </c>
      <c r="BJ20" s="28">
        <v>86.333333333333343</v>
      </c>
      <c r="BK20" s="28"/>
      <c r="BL20" s="27">
        <f t="shared" si="12"/>
        <v>86.333333333333343</v>
      </c>
      <c r="BM20" s="28"/>
      <c r="BN20" s="28"/>
      <c r="BO20" s="28"/>
      <c r="BP20" s="26" t="e">
        <f t="shared" si="13"/>
        <v>#DIV/0!</v>
      </c>
      <c r="BQ20" s="28"/>
      <c r="BR20" s="28"/>
      <c r="BS20" s="28"/>
      <c r="BT20" s="27" t="e">
        <f t="shared" si="14"/>
        <v>#DIV/0!</v>
      </c>
      <c r="BU20" s="28"/>
      <c r="BV20" s="26">
        <f t="shared" si="15"/>
        <v>0</v>
      </c>
      <c r="BW20" s="27"/>
      <c r="BX20" s="28"/>
      <c r="BY20" s="28"/>
      <c r="BZ20" s="27" t="e">
        <f t="shared" si="16"/>
        <v>#DIV/0!</v>
      </c>
      <c r="CA20" s="29" t="str">
        <f t="shared" si="0"/>
        <v/>
      </c>
    </row>
    <row r="21" spans="1:79" ht="14.5">
      <c r="A21" s="22">
        <v>13</v>
      </c>
      <c r="B21" s="23">
        <f>BIODATA!B36</f>
        <v>0</v>
      </c>
      <c r="C21" s="23">
        <f>BIODATA!C36</f>
        <v>0</v>
      </c>
      <c r="D21" s="24" t="str">
        <f>BIODATA!D36</f>
        <v>MARCELO JONAS NATRA ARSYAFIN</v>
      </c>
      <c r="E21" s="23" t="str">
        <f>BIODATA!H36</f>
        <v>L</v>
      </c>
      <c r="F21" s="22" t="str">
        <f>BIODATA!E36</f>
        <v>X TKR 1</v>
      </c>
      <c r="G21" s="25">
        <v>86</v>
      </c>
      <c r="H21" s="25"/>
      <c r="I21" s="25"/>
      <c r="J21" s="25"/>
      <c r="K21" s="25"/>
      <c r="L21" s="26">
        <f t="shared" si="1"/>
        <v>86</v>
      </c>
      <c r="M21" s="25">
        <v>99</v>
      </c>
      <c r="N21" s="25"/>
      <c r="O21" s="25"/>
      <c r="P21" s="25"/>
      <c r="Q21" s="25"/>
      <c r="R21" s="27">
        <f t="shared" si="2"/>
        <v>99</v>
      </c>
      <c r="S21" s="25">
        <v>80</v>
      </c>
      <c r="T21" s="25"/>
      <c r="U21" s="25"/>
      <c r="V21" s="25"/>
      <c r="W21" s="25"/>
      <c r="X21" s="26">
        <f t="shared" si="3"/>
        <v>80</v>
      </c>
      <c r="Y21" s="25">
        <v>86</v>
      </c>
      <c r="Z21" s="25"/>
      <c r="AA21" s="25"/>
      <c r="AB21" s="25"/>
      <c r="AC21" s="27">
        <f t="shared" si="4"/>
        <v>86</v>
      </c>
      <c r="AD21" s="25">
        <v>88</v>
      </c>
      <c r="AE21" s="25"/>
      <c r="AF21" s="25"/>
      <c r="AG21" s="25"/>
      <c r="AH21" s="26">
        <f t="shared" si="5"/>
        <v>88</v>
      </c>
      <c r="AI21" s="25">
        <v>83</v>
      </c>
      <c r="AJ21" s="25"/>
      <c r="AK21" s="27">
        <f t="shared" si="6"/>
        <v>83</v>
      </c>
      <c r="AL21" s="28">
        <v>86</v>
      </c>
      <c r="AM21" s="28"/>
      <c r="AN21" s="28"/>
      <c r="AO21" s="28"/>
      <c r="AP21" s="28"/>
      <c r="AQ21" s="26">
        <f t="shared" si="7"/>
        <v>86</v>
      </c>
      <c r="AR21" s="28">
        <v>80</v>
      </c>
      <c r="AS21" s="28"/>
      <c r="AT21" s="28"/>
      <c r="AU21" s="28"/>
      <c r="AV21" s="28"/>
      <c r="AW21" s="27">
        <f t="shared" si="8"/>
        <v>80</v>
      </c>
      <c r="AX21" s="28">
        <v>85</v>
      </c>
      <c r="AY21" s="28"/>
      <c r="AZ21" s="28"/>
      <c r="BA21" s="28"/>
      <c r="BB21" s="28"/>
      <c r="BC21" s="26">
        <f t="shared" si="9"/>
        <v>85</v>
      </c>
      <c r="BD21" s="28">
        <v>93.333333333333329</v>
      </c>
      <c r="BE21" s="28"/>
      <c r="BF21" s="27">
        <f t="shared" si="10"/>
        <v>93.333333333333329</v>
      </c>
      <c r="BG21" s="28">
        <v>82</v>
      </c>
      <c r="BH21" s="28"/>
      <c r="BI21" s="26">
        <f t="shared" si="11"/>
        <v>82</v>
      </c>
      <c r="BJ21" s="28">
        <v>93.333333333333329</v>
      </c>
      <c r="BK21" s="28"/>
      <c r="BL21" s="27">
        <f t="shared" si="12"/>
        <v>93.333333333333329</v>
      </c>
      <c r="BM21" s="28"/>
      <c r="BN21" s="28"/>
      <c r="BO21" s="28"/>
      <c r="BP21" s="26" t="e">
        <f t="shared" si="13"/>
        <v>#DIV/0!</v>
      </c>
      <c r="BQ21" s="28"/>
      <c r="BR21" s="28"/>
      <c r="BS21" s="28"/>
      <c r="BT21" s="27" t="e">
        <f t="shared" si="14"/>
        <v>#DIV/0!</v>
      </c>
      <c r="BU21" s="28"/>
      <c r="BV21" s="26">
        <f t="shared" si="15"/>
        <v>0</v>
      </c>
      <c r="BW21" s="27"/>
      <c r="BX21" s="28"/>
      <c r="BY21" s="28"/>
      <c r="BZ21" s="27" t="e">
        <f t="shared" si="16"/>
        <v>#DIV/0!</v>
      </c>
      <c r="CA21" s="29" t="str">
        <f t="shared" si="0"/>
        <v/>
      </c>
    </row>
    <row r="22" spans="1:79" ht="14.5">
      <c r="A22" s="22">
        <v>14</v>
      </c>
      <c r="B22" s="23">
        <f>BIODATA!B37</f>
        <v>0</v>
      </c>
      <c r="C22" s="23">
        <f>BIODATA!C37</f>
        <v>0</v>
      </c>
      <c r="D22" s="24" t="str">
        <f>BIODATA!D37</f>
        <v>MOCHAMAD DWI ADISATRIO</v>
      </c>
      <c r="E22" s="23" t="str">
        <f>BIODATA!H37</f>
        <v>L</v>
      </c>
      <c r="F22" s="22" t="str">
        <f>BIODATA!E37</f>
        <v>X TKR 1</v>
      </c>
      <c r="G22" s="25">
        <v>82</v>
      </c>
      <c r="H22" s="25"/>
      <c r="I22" s="25"/>
      <c r="J22" s="25"/>
      <c r="K22" s="25"/>
      <c r="L22" s="26">
        <f t="shared" si="1"/>
        <v>82</v>
      </c>
      <c r="M22" s="25">
        <v>78</v>
      </c>
      <c r="N22" s="25"/>
      <c r="O22" s="25"/>
      <c r="P22" s="25"/>
      <c r="Q22" s="25"/>
      <c r="R22" s="27">
        <f t="shared" si="2"/>
        <v>78</v>
      </c>
      <c r="S22" s="25">
        <v>80</v>
      </c>
      <c r="T22" s="25"/>
      <c r="U22" s="25"/>
      <c r="V22" s="25"/>
      <c r="W22" s="25"/>
      <c r="X22" s="26">
        <f t="shared" si="3"/>
        <v>80</v>
      </c>
      <c r="Y22" s="25">
        <v>86</v>
      </c>
      <c r="Z22" s="25"/>
      <c r="AA22" s="25"/>
      <c r="AB22" s="25"/>
      <c r="AC22" s="27">
        <f t="shared" si="4"/>
        <v>86</v>
      </c>
      <c r="AD22" s="25">
        <v>84</v>
      </c>
      <c r="AE22" s="25"/>
      <c r="AF22" s="25"/>
      <c r="AG22" s="25"/>
      <c r="AH22" s="26">
        <f t="shared" si="5"/>
        <v>84</v>
      </c>
      <c r="AI22" s="25">
        <v>80</v>
      </c>
      <c r="AJ22" s="25"/>
      <c r="AK22" s="27">
        <f t="shared" si="6"/>
        <v>80</v>
      </c>
      <c r="AL22" s="28">
        <v>82</v>
      </c>
      <c r="AM22" s="28"/>
      <c r="AN22" s="28"/>
      <c r="AO22" s="28"/>
      <c r="AP22" s="28"/>
      <c r="AQ22" s="26">
        <f t="shared" si="7"/>
        <v>82</v>
      </c>
      <c r="AR22" s="28">
        <v>79</v>
      </c>
      <c r="AS22" s="28"/>
      <c r="AT22" s="28"/>
      <c r="AU22" s="28"/>
      <c r="AV22" s="28"/>
      <c r="AW22" s="27">
        <f t="shared" si="8"/>
        <v>79</v>
      </c>
      <c r="AX22" s="28">
        <v>85</v>
      </c>
      <c r="AY22" s="28"/>
      <c r="AZ22" s="28"/>
      <c r="BA22" s="28"/>
      <c r="BB22" s="28"/>
      <c r="BC22" s="26">
        <f t="shared" si="9"/>
        <v>85</v>
      </c>
      <c r="BD22" s="28">
        <v>78</v>
      </c>
      <c r="BE22" s="28"/>
      <c r="BF22" s="27">
        <f t="shared" si="10"/>
        <v>78</v>
      </c>
      <c r="BG22" s="28">
        <v>82</v>
      </c>
      <c r="BH22" s="28"/>
      <c r="BI22" s="26">
        <f t="shared" si="11"/>
        <v>82</v>
      </c>
      <c r="BJ22" s="28">
        <v>78</v>
      </c>
      <c r="BK22" s="28"/>
      <c r="BL22" s="27">
        <f t="shared" si="12"/>
        <v>78</v>
      </c>
      <c r="BM22" s="28"/>
      <c r="BN22" s="28"/>
      <c r="BO22" s="28"/>
      <c r="BP22" s="26" t="e">
        <f t="shared" si="13"/>
        <v>#DIV/0!</v>
      </c>
      <c r="BQ22" s="28"/>
      <c r="BR22" s="28"/>
      <c r="BS22" s="28"/>
      <c r="BT22" s="27" t="e">
        <f t="shared" si="14"/>
        <v>#DIV/0!</v>
      </c>
      <c r="BU22" s="28"/>
      <c r="BV22" s="26">
        <f t="shared" si="15"/>
        <v>0</v>
      </c>
      <c r="BW22" s="27"/>
      <c r="BX22" s="28"/>
      <c r="BY22" s="28"/>
      <c r="BZ22" s="27" t="e">
        <f t="shared" si="16"/>
        <v>#DIV/0!</v>
      </c>
      <c r="CA22" s="29" t="str">
        <f t="shared" si="0"/>
        <v/>
      </c>
    </row>
    <row r="23" spans="1:79" ht="14.5">
      <c r="A23" s="22">
        <v>15</v>
      </c>
      <c r="B23" s="23">
        <f>BIODATA!B38</f>
        <v>0</v>
      </c>
      <c r="C23" s="23">
        <f>BIODATA!C38</f>
        <v>0</v>
      </c>
      <c r="D23" s="24" t="str">
        <f>BIODATA!D38</f>
        <v>MOHAMMAD BAMBANG SUBANDI</v>
      </c>
      <c r="E23" s="23" t="str">
        <f>BIODATA!H38</f>
        <v>L</v>
      </c>
      <c r="F23" s="22" t="str">
        <f>BIODATA!E38</f>
        <v>X TKR 1</v>
      </c>
      <c r="G23" s="25">
        <v>88</v>
      </c>
      <c r="H23" s="25"/>
      <c r="I23" s="25"/>
      <c r="J23" s="25"/>
      <c r="K23" s="25"/>
      <c r="L23" s="26">
        <f t="shared" si="1"/>
        <v>88</v>
      </c>
      <c r="M23" s="25">
        <v>90</v>
      </c>
      <c r="N23" s="25"/>
      <c r="O23" s="25"/>
      <c r="P23" s="25"/>
      <c r="Q23" s="25"/>
      <c r="R23" s="27">
        <f t="shared" si="2"/>
        <v>90</v>
      </c>
      <c r="S23" s="25">
        <v>80</v>
      </c>
      <c r="T23" s="25"/>
      <c r="U23" s="25"/>
      <c r="V23" s="25"/>
      <c r="W23" s="25"/>
      <c r="X23" s="26">
        <f t="shared" si="3"/>
        <v>80</v>
      </c>
      <c r="Y23" s="25">
        <v>83</v>
      </c>
      <c r="Z23" s="25"/>
      <c r="AA23" s="25"/>
      <c r="AB23" s="25"/>
      <c r="AC23" s="27">
        <f t="shared" si="4"/>
        <v>83</v>
      </c>
      <c r="AD23" s="25">
        <v>90</v>
      </c>
      <c r="AE23" s="25"/>
      <c r="AF23" s="25"/>
      <c r="AG23" s="25"/>
      <c r="AH23" s="26">
        <f t="shared" si="5"/>
        <v>90</v>
      </c>
      <c r="AI23" s="25">
        <v>86</v>
      </c>
      <c r="AJ23" s="25"/>
      <c r="AK23" s="27">
        <f t="shared" si="6"/>
        <v>86</v>
      </c>
      <c r="AL23" s="28">
        <v>88</v>
      </c>
      <c r="AM23" s="28"/>
      <c r="AN23" s="28"/>
      <c r="AO23" s="28"/>
      <c r="AP23" s="28"/>
      <c r="AQ23" s="26">
        <f t="shared" si="7"/>
        <v>88</v>
      </c>
      <c r="AR23" s="28">
        <v>79</v>
      </c>
      <c r="AS23" s="28"/>
      <c r="AT23" s="28"/>
      <c r="AU23" s="28"/>
      <c r="AV23" s="28"/>
      <c r="AW23" s="27">
        <f t="shared" si="8"/>
        <v>79</v>
      </c>
      <c r="AX23" s="28">
        <v>80</v>
      </c>
      <c r="AY23" s="28"/>
      <c r="AZ23" s="28"/>
      <c r="BA23" s="28"/>
      <c r="BB23" s="28"/>
      <c r="BC23" s="26">
        <f t="shared" si="9"/>
        <v>80</v>
      </c>
      <c r="BD23" s="28">
        <v>93</v>
      </c>
      <c r="BE23" s="28"/>
      <c r="BF23" s="27">
        <f t="shared" si="10"/>
        <v>93</v>
      </c>
      <c r="BG23" s="28">
        <v>80</v>
      </c>
      <c r="BH23" s="28"/>
      <c r="BI23" s="26">
        <f t="shared" si="11"/>
        <v>80</v>
      </c>
      <c r="BJ23" s="28">
        <v>93</v>
      </c>
      <c r="BK23" s="28"/>
      <c r="BL23" s="27">
        <f t="shared" si="12"/>
        <v>93</v>
      </c>
      <c r="BM23" s="28"/>
      <c r="BN23" s="28"/>
      <c r="BO23" s="28"/>
      <c r="BP23" s="26" t="e">
        <f t="shared" si="13"/>
        <v>#DIV/0!</v>
      </c>
      <c r="BQ23" s="28"/>
      <c r="BR23" s="28"/>
      <c r="BS23" s="28"/>
      <c r="BT23" s="27" t="e">
        <f t="shared" si="14"/>
        <v>#DIV/0!</v>
      </c>
      <c r="BU23" s="28"/>
      <c r="BV23" s="26">
        <f t="shared" si="15"/>
        <v>0</v>
      </c>
      <c r="BW23" s="27"/>
      <c r="BX23" s="28"/>
      <c r="BY23" s="28"/>
      <c r="BZ23" s="27" t="e">
        <f t="shared" si="16"/>
        <v>#DIV/0!</v>
      </c>
      <c r="CA23" s="29" t="str">
        <f t="shared" si="0"/>
        <v/>
      </c>
    </row>
    <row r="24" spans="1:79" ht="14.5">
      <c r="A24" s="22">
        <v>16</v>
      </c>
      <c r="B24" s="23">
        <f>BIODATA!B39</f>
        <v>0</v>
      </c>
      <c r="C24" s="23">
        <f>BIODATA!C39</f>
        <v>0</v>
      </c>
      <c r="D24" s="24" t="str">
        <f>BIODATA!D39</f>
        <v>MOHAMMAD ILHAM ABDULLOH</v>
      </c>
      <c r="E24" s="23" t="str">
        <f>BIODATA!H39</f>
        <v>L</v>
      </c>
      <c r="F24" s="22" t="str">
        <f>BIODATA!E39</f>
        <v>X TKR 1</v>
      </c>
      <c r="G24" s="25">
        <v>85</v>
      </c>
      <c r="H24" s="25"/>
      <c r="I24" s="25"/>
      <c r="J24" s="25"/>
      <c r="K24" s="25"/>
      <c r="L24" s="26">
        <f t="shared" si="1"/>
        <v>85</v>
      </c>
      <c r="M24" s="25">
        <v>90</v>
      </c>
      <c r="N24" s="25"/>
      <c r="O24" s="25"/>
      <c r="P24" s="25"/>
      <c r="Q24" s="25"/>
      <c r="R24" s="27">
        <f t="shared" si="2"/>
        <v>90</v>
      </c>
      <c r="S24" s="25">
        <v>82</v>
      </c>
      <c r="T24" s="25"/>
      <c r="U24" s="25"/>
      <c r="V24" s="25"/>
      <c r="W24" s="25"/>
      <c r="X24" s="26">
        <f t="shared" si="3"/>
        <v>82</v>
      </c>
      <c r="Y24" s="25">
        <v>86</v>
      </c>
      <c r="Z24" s="25"/>
      <c r="AA24" s="25"/>
      <c r="AB24" s="25"/>
      <c r="AC24" s="27">
        <f t="shared" si="4"/>
        <v>86</v>
      </c>
      <c r="AD24" s="25">
        <v>87</v>
      </c>
      <c r="AE24" s="25"/>
      <c r="AF24" s="25"/>
      <c r="AG24" s="25"/>
      <c r="AH24" s="26">
        <f t="shared" si="5"/>
        <v>87</v>
      </c>
      <c r="AI24" s="25">
        <v>80</v>
      </c>
      <c r="AJ24" s="25"/>
      <c r="AK24" s="27">
        <f t="shared" si="6"/>
        <v>80</v>
      </c>
      <c r="AL24" s="28">
        <v>85</v>
      </c>
      <c r="AM24" s="28"/>
      <c r="AN24" s="28"/>
      <c r="AO24" s="28"/>
      <c r="AP24" s="28"/>
      <c r="AQ24" s="26">
        <f t="shared" si="7"/>
        <v>85</v>
      </c>
      <c r="AR24" s="28">
        <v>79</v>
      </c>
      <c r="AS24" s="28"/>
      <c r="AT24" s="28"/>
      <c r="AU24" s="28"/>
      <c r="AV24" s="28"/>
      <c r="AW24" s="27">
        <f t="shared" si="8"/>
        <v>79</v>
      </c>
      <c r="AX24" s="28">
        <v>85</v>
      </c>
      <c r="AY24" s="28"/>
      <c r="AZ24" s="28"/>
      <c r="BA24" s="28"/>
      <c r="BB24" s="28"/>
      <c r="BC24" s="26">
        <f t="shared" si="9"/>
        <v>85</v>
      </c>
      <c r="BD24" s="28">
        <v>86.666666666666657</v>
      </c>
      <c r="BE24" s="28"/>
      <c r="BF24" s="27">
        <f t="shared" si="10"/>
        <v>86.666666666666657</v>
      </c>
      <c r="BG24" s="28">
        <v>82</v>
      </c>
      <c r="BH24" s="28"/>
      <c r="BI24" s="26">
        <f t="shared" si="11"/>
        <v>82</v>
      </c>
      <c r="BJ24" s="28">
        <v>86.666666666666657</v>
      </c>
      <c r="BK24" s="28"/>
      <c r="BL24" s="27">
        <f t="shared" si="12"/>
        <v>86.666666666666657</v>
      </c>
      <c r="BM24" s="28"/>
      <c r="BN24" s="28"/>
      <c r="BO24" s="28"/>
      <c r="BP24" s="26" t="e">
        <f t="shared" si="13"/>
        <v>#DIV/0!</v>
      </c>
      <c r="BQ24" s="28"/>
      <c r="BR24" s="28"/>
      <c r="BS24" s="28"/>
      <c r="BT24" s="27" t="e">
        <f t="shared" si="14"/>
        <v>#DIV/0!</v>
      </c>
      <c r="BU24" s="28"/>
      <c r="BV24" s="26">
        <f t="shared" si="15"/>
        <v>0</v>
      </c>
      <c r="BW24" s="27"/>
      <c r="BX24" s="28"/>
      <c r="BY24" s="28"/>
      <c r="BZ24" s="27" t="e">
        <f t="shared" si="16"/>
        <v>#DIV/0!</v>
      </c>
      <c r="CA24" s="29" t="str">
        <f t="shared" si="0"/>
        <v/>
      </c>
    </row>
    <row r="25" spans="1:79" ht="14.5">
      <c r="A25" s="22">
        <v>17</v>
      </c>
      <c r="B25" s="23">
        <f>BIODATA!B40</f>
        <v>0</v>
      </c>
      <c r="C25" s="23">
        <f>BIODATA!C40</f>
        <v>0</v>
      </c>
      <c r="D25" s="24" t="str">
        <f>BIODATA!D40</f>
        <v>MUHAMAD IQBAL LUCKY SAPUTRA</v>
      </c>
      <c r="E25" s="23" t="str">
        <f>BIODATA!H40</f>
        <v>L</v>
      </c>
      <c r="F25" s="22" t="str">
        <f>BIODATA!E40</f>
        <v>X TKR 1</v>
      </c>
      <c r="G25" s="25">
        <v>87</v>
      </c>
      <c r="H25" s="25"/>
      <c r="I25" s="25"/>
      <c r="J25" s="25"/>
      <c r="K25" s="25"/>
      <c r="L25" s="26">
        <f t="shared" si="1"/>
        <v>87</v>
      </c>
      <c r="M25" s="25">
        <v>90</v>
      </c>
      <c r="N25" s="25"/>
      <c r="O25" s="25"/>
      <c r="P25" s="25"/>
      <c r="Q25" s="25"/>
      <c r="R25" s="27">
        <f t="shared" si="2"/>
        <v>90</v>
      </c>
      <c r="S25" s="25">
        <v>81</v>
      </c>
      <c r="T25" s="25"/>
      <c r="U25" s="25"/>
      <c r="V25" s="25"/>
      <c r="W25" s="25"/>
      <c r="X25" s="26">
        <f t="shared" si="3"/>
        <v>81</v>
      </c>
      <c r="Y25" s="25">
        <v>87</v>
      </c>
      <c r="Z25" s="25"/>
      <c r="AA25" s="25"/>
      <c r="AB25" s="25"/>
      <c r="AC25" s="27">
        <f t="shared" si="4"/>
        <v>87</v>
      </c>
      <c r="AD25" s="25">
        <v>89</v>
      </c>
      <c r="AE25" s="25"/>
      <c r="AF25" s="25"/>
      <c r="AG25" s="25"/>
      <c r="AH25" s="26">
        <f t="shared" si="5"/>
        <v>89</v>
      </c>
      <c r="AI25" s="25">
        <v>82</v>
      </c>
      <c r="AJ25" s="25"/>
      <c r="AK25" s="27">
        <f t="shared" si="6"/>
        <v>82</v>
      </c>
      <c r="AL25" s="28">
        <v>87</v>
      </c>
      <c r="AM25" s="28"/>
      <c r="AN25" s="28"/>
      <c r="AO25" s="28"/>
      <c r="AP25" s="28"/>
      <c r="AQ25" s="26">
        <f t="shared" si="7"/>
        <v>87</v>
      </c>
      <c r="AR25" s="28">
        <v>80</v>
      </c>
      <c r="AS25" s="28"/>
      <c r="AT25" s="28"/>
      <c r="AU25" s="28"/>
      <c r="AV25" s="28"/>
      <c r="AW25" s="27">
        <f t="shared" si="8"/>
        <v>80</v>
      </c>
      <c r="AX25" s="28">
        <v>89</v>
      </c>
      <c r="AY25" s="28"/>
      <c r="AZ25" s="28"/>
      <c r="BA25" s="28"/>
      <c r="BB25" s="28"/>
      <c r="BC25" s="26">
        <f t="shared" si="9"/>
        <v>89</v>
      </c>
      <c r="BD25" s="28">
        <v>93.333333333333329</v>
      </c>
      <c r="BE25" s="28"/>
      <c r="BF25" s="27">
        <f t="shared" si="10"/>
        <v>93.333333333333329</v>
      </c>
      <c r="BG25" s="28">
        <v>81</v>
      </c>
      <c r="BH25" s="28"/>
      <c r="BI25" s="26">
        <f t="shared" si="11"/>
        <v>81</v>
      </c>
      <c r="BJ25" s="28">
        <v>93.333333333333329</v>
      </c>
      <c r="BK25" s="28"/>
      <c r="BL25" s="27">
        <f t="shared" si="12"/>
        <v>93.333333333333329</v>
      </c>
      <c r="BM25" s="28"/>
      <c r="BN25" s="28"/>
      <c r="BO25" s="28"/>
      <c r="BP25" s="26" t="e">
        <f t="shared" si="13"/>
        <v>#DIV/0!</v>
      </c>
      <c r="BQ25" s="28"/>
      <c r="BR25" s="28"/>
      <c r="BS25" s="28"/>
      <c r="BT25" s="27" t="e">
        <f t="shared" si="14"/>
        <v>#DIV/0!</v>
      </c>
      <c r="BU25" s="28"/>
      <c r="BV25" s="26">
        <f t="shared" si="15"/>
        <v>0</v>
      </c>
      <c r="BW25" s="27"/>
      <c r="BX25" s="28"/>
      <c r="BY25" s="28"/>
      <c r="BZ25" s="27" t="e">
        <f t="shared" si="16"/>
        <v>#DIV/0!</v>
      </c>
      <c r="CA25" s="29" t="str">
        <f t="shared" si="0"/>
        <v/>
      </c>
    </row>
    <row r="26" spans="1:79" ht="14.5">
      <c r="A26" s="22">
        <v>18</v>
      </c>
      <c r="B26" s="23">
        <f>BIODATA!B41</f>
        <v>0</v>
      </c>
      <c r="C26" s="23">
        <f>BIODATA!C41</f>
        <v>0</v>
      </c>
      <c r="D26" s="24" t="str">
        <f>BIODATA!D41</f>
        <v>MUHAMMAD ARDIAN CAHYA PRADANA</v>
      </c>
      <c r="E26" s="23" t="str">
        <f>BIODATA!H41</f>
        <v>L</v>
      </c>
      <c r="F26" s="22" t="str">
        <f>BIODATA!E41</f>
        <v>X TKR 1</v>
      </c>
      <c r="G26" s="25">
        <v>88</v>
      </c>
      <c r="H26" s="25"/>
      <c r="I26" s="25"/>
      <c r="J26" s="25"/>
      <c r="K26" s="25"/>
      <c r="L26" s="26">
        <f t="shared" si="1"/>
        <v>88</v>
      </c>
      <c r="M26" s="25">
        <v>90</v>
      </c>
      <c r="N26" s="25"/>
      <c r="O26" s="25"/>
      <c r="P26" s="25"/>
      <c r="Q26" s="25"/>
      <c r="R26" s="27">
        <f t="shared" si="2"/>
        <v>90</v>
      </c>
      <c r="S26" s="25">
        <v>80</v>
      </c>
      <c r="T26" s="25"/>
      <c r="U26" s="25"/>
      <c r="V26" s="25"/>
      <c r="W26" s="25"/>
      <c r="X26" s="26">
        <f t="shared" si="3"/>
        <v>80</v>
      </c>
      <c r="Y26" s="25">
        <v>89</v>
      </c>
      <c r="Z26" s="25"/>
      <c r="AA26" s="25"/>
      <c r="AB26" s="25"/>
      <c r="AC26" s="27">
        <f t="shared" si="4"/>
        <v>89</v>
      </c>
      <c r="AD26" s="25">
        <v>90</v>
      </c>
      <c r="AE26" s="25"/>
      <c r="AF26" s="25"/>
      <c r="AG26" s="25"/>
      <c r="AH26" s="26">
        <f t="shared" si="5"/>
        <v>90</v>
      </c>
      <c r="AI26" s="25">
        <v>85</v>
      </c>
      <c r="AJ26" s="25"/>
      <c r="AK26" s="27">
        <f t="shared" si="6"/>
        <v>85</v>
      </c>
      <c r="AL26" s="28">
        <v>88</v>
      </c>
      <c r="AM26" s="28"/>
      <c r="AN26" s="28"/>
      <c r="AO26" s="28"/>
      <c r="AP26" s="28"/>
      <c r="AQ26" s="26">
        <f t="shared" si="7"/>
        <v>88</v>
      </c>
      <c r="AR26" s="28">
        <v>79</v>
      </c>
      <c r="AS26" s="28"/>
      <c r="AT26" s="28"/>
      <c r="AU26" s="28"/>
      <c r="AV26" s="28"/>
      <c r="AW26" s="27">
        <f t="shared" si="8"/>
        <v>79</v>
      </c>
      <c r="AX26" s="28">
        <v>80</v>
      </c>
      <c r="AY26" s="28"/>
      <c r="AZ26" s="28"/>
      <c r="BA26" s="28"/>
      <c r="BB26" s="28"/>
      <c r="BC26" s="26">
        <f t="shared" si="9"/>
        <v>80</v>
      </c>
      <c r="BD26" s="28">
        <v>86.666666666666657</v>
      </c>
      <c r="BE26" s="28"/>
      <c r="BF26" s="27">
        <f t="shared" si="10"/>
        <v>86.666666666666657</v>
      </c>
      <c r="BG26" s="28">
        <v>82</v>
      </c>
      <c r="BH26" s="28"/>
      <c r="BI26" s="26">
        <f t="shared" si="11"/>
        <v>82</v>
      </c>
      <c r="BJ26" s="28">
        <v>86.666666666666657</v>
      </c>
      <c r="BK26" s="28"/>
      <c r="BL26" s="27">
        <f t="shared" si="12"/>
        <v>86.666666666666657</v>
      </c>
      <c r="BM26" s="28"/>
      <c r="BN26" s="28"/>
      <c r="BO26" s="28"/>
      <c r="BP26" s="26" t="e">
        <f t="shared" si="13"/>
        <v>#DIV/0!</v>
      </c>
      <c r="BQ26" s="28"/>
      <c r="BR26" s="28"/>
      <c r="BS26" s="28"/>
      <c r="BT26" s="27" t="e">
        <f t="shared" si="14"/>
        <v>#DIV/0!</v>
      </c>
      <c r="BU26" s="28"/>
      <c r="BV26" s="26">
        <f t="shared" si="15"/>
        <v>0</v>
      </c>
      <c r="BW26" s="27"/>
      <c r="BX26" s="28"/>
      <c r="BY26" s="28"/>
      <c r="BZ26" s="27" t="e">
        <f t="shared" si="16"/>
        <v>#DIV/0!</v>
      </c>
      <c r="CA26" s="29" t="str">
        <f t="shared" si="0"/>
        <v/>
      </c>
    </row>
    <row r="27" spans="1:79" ht="14.5">
      <c r="A27" s="22">
        <v>19</v>
      </c>
      <c r="B27" s="23">
        <f>BIODATA!B42</f>
        <v>0</v>
      </c>
      <c r="C27" s="23">
        <f>BIODATA!C42</f>
        <v>0</v>
      </c>
      <c r="D27" s="24" t="str">
        <f>BIODATA!D42</f>
        <v>MUHAMMAD MA'RUF ADI NUGRAHA</v>
      </c>
      <c r="E27" s="23" t="str">
        <f>BIODATA!H42</f>
        <v>L</v>
      </c>
      <c r="F27" s="22" t="str">
        <f>BIODATA!E42</f>
        <v>X TKR 1</v>
      </c>
      <c r="G27" s="25">
        <v>82</v>
      </c>
      <c r="H27" s="25"/>
      <c r="I27" s="25"/>
      <c r="J27" s="25"/>
      <c r="K27" s="25"/>
      <c r="L27" s="26">
        <f t="shared" si="1"/>
        <v>82</v>
      </c>
      <c r="M27" s="25">
        <v>78</v>
      </c>
      <c r="N27" s="25"/>
      <c r="O27" s="25"/>
      <c r="P27" s="25"/>
      <c r="Q27" s="25"/>
      <c r="R27" s="27">
        <f t="shared" si="2"/>
        <v>78</v>
      </c>
      <c r="S27" s="25">
        <v>80</v>
      </c>
      <c r="T27" s="25"/>
      <c r="U27" s="25"/>
      <c r="V27" s="25"/>
      <c r="W27" s="25"/>
      <c r="X27" s="26">
        <f t="shared" si="3"/>
        <v>80</v>
      </c>
      <c r="Y27" s="25">
        <v>85</v>
      </c>
      <c r="Z27" s="25"/>
      <c r="AA27" s="25"/>
      <c r="AB27" s="25"/>
      <c r="AC27" s="27">
        <f t="shared" si="4"/>
        <v>85</v>
      </c>
      <c r="AD27" s="25">
        <v>84</v>
      </c>
      <c r="AE27" s="25"/>
      <c r="AF27" s="25"/>
      <c r="AG27" s="25"/>
      <c r="AH27" s="26">
        <f t="shared" si="5"/>
        <v>84</v>
      </c>
      <c r="AI27" s="25">
        <v>85</v>
      </c>
      <c r="AJ27" s="25"/>
      <c r="AK27" s="27">
        <f t="shared" si="6"/>
        <v>85</v>
      </c>
      <c r="AL27" s="28">
        <v>82</v>
      </c>
      <c r="AM27" s="28"/>
      <c r="AN27" s="28"/>
      <c r="AO27" s="28"/>
      <c r="AP27" s="28"/>
      <c r="AQ27" s="26">
        <f t="shared" si="7"/>
        <v>82</v>
      </c>
      <c r="AR27" s="28">
        <v>80</v>
      </c>
      <c r="AS27" s="28"/>
      <c r="AT27" s="28"/>
      <c r="AU27" s="28"/>
      <c r="AV27" s="28"/>
      <c r="AW27" s="27">
        <f t="shared" si="8"/>
        <v>80</v>
      </c>
      <c r="AX27" s="28">
        <v>80</v>
      </c>
      <c r="AY27" s="28"/>
      <c r="AZ27" s="28"/>
      <c r="BA27" s="28"/>
      <c r="BB27" s="28"/>
      <c r="BC27" s="26">
        <f t="shared" si="9"/>
        <v>80</v>
      </c>
      <c r="BD27" s="28">
        <v>78</v>
      </c>
      <c r="BE27" s="28"/>
      <c r="BF27" s="27">
        <f t="shared" si="10"/>
        <v>78</v>
      </c>
      <c r="BG27" s="28">
        <v>82</v>
      </c>
      <c r="BH27" s="28"/>
      <c r="BI27" s="26">
        <f t="shared" si="11"/>
        <v>82</v>
      </c>
      <c r="BJ27" s="28">
        <v>78</v>
      </c>
      <c r="BK27" s="28"/>
      <c r="BL27" s="27">
        <f t="shared" si="12"/>
        <v>78</v>
      </c>
      <c r="BM27" s="28"/>
      <c r="BN27" s="28"/>
      <c r="BO27" s="28"/>
      <c r="BP27" s="26" t="e">
        <f t="shared" si="13"/>
        <v>#DIV/0!</v>
      </c>
      <c r="BQ27" s="28"/>
      <c r="BR27" s="28"/>
      <c r="BS27" s="28"/>
      <c r="BT27" s="27" t="e">
        <f t="shared" si="14"/>
        <v>#DIV/0!</v>
      </c>
      <c r="BU27" s="28"/>
      <c r="BV27" s="26">
        <f t="shared" si="15"/>
        <v>0</v>
      </c>
      <c r="BW27" s="27"/>
      <c r="BX27" s="28"/>
      <c r="BY27" s="28"/>
      <c r="BZ27" s="27" t="e">
        <f t="shared" si="16"/>
        <v>#DIV/0!</v>
      </c>
      <c r="CA27" s="29" t="str">
        <f t="shared" si="0"/>
        <v/>
      </c>
    </row>
    <row r="28" spans="1:79" ht="14.5">
      <c r="A28" s="22">
        <v>20</v>
      </c>
      <c r="B28" s="23">
        <f>BIODATA!B43</f>
        <v>0</v>
      </c>
      <c r="C28" s="23">
        <f>BIODATA!C43</f>
        <v>0</v>
      </c>
      <c r="D28" s="24" t="str">
        <f>BIODATA!D43</f>
        <v>MUHAMMAD RIDHO MAULUDDIN</v>
      </c>
      <c r="E28" s="23" t="str">
        <f>BIODATA!H43</f>
        <v>L</v>
      </c>
      <c r="F28" s="22" t="str">
        <f>BIODATA!E43</f>
        <v>X TKR 1</v>
      </c>
      <c r="G28" s="25">
        <v>83</v>
      </c>
      <c r="H28" s="25"/>
      <c r="I28" s="25"/>
      <c r="J28" s="25"/>
      <c r="K28" s="25"/>
      <c r="L28" s="26">
        <f t="shared" si="1"/>
        <v>83</v>
      </c>
      <c r="M28" s="25">
        <v>99</v>
      </c>
      <c r="N28" s="25"/>
      <c r="O28" s="25"/>
      <c r="P28" s="25"/>
      <c r="Q28" s="25"/>
      <c r="R28" s="27">
        <f t="shared" si="2"/>
        <v>99</v>
      </c>
      <c r="S28" s="25">
        <v>81</v>
      </c>
      <c r="T28" s="25"/>
      <c r="U28" s="25"/>
      <c r="V28" s="25"/>
      <c r="W28" s="25"/>
      <c r="X28" s="26">
        <f t="shared" si="3"/>
        <v>81</v>
      </c>
      <c r="Y28" s="25">
        <v>86</v>
      </c>
      <c r="Z28" s="25"/>
      <c r="AA28" s="25"/>
      <c r="AB28" s="25"/>
      <c r="AC28" s="27">
        <f t="shared" si="4"/>
        <v>86</v>
      </c>
      <c r="AD28" s="25">
        <v>85</v>
      </c>
      <c r="AE28" s="25"/>
      <c r="AF28" s="25"/>
      <c r="AG28" s="25"/>
      <c r="AH28" s="26">
        <f t="shared" si="5"/>
        <v>85</v>
      </c>
      <c r="AI28" s="25">
        <v>85</v>
      </c>
      <c r="AJ28" s="25"/>
      <c r="AK28" s="27">
        <f t="shared" si="6"/>
        <v>85</v>
      </c>
      <c r="AL28" s="28">
        <v>83</v>
      </c>
      <c r="AM28" s="28"/>
      <c r="AN28" s="28"/>
      <c r="AO28" s="28"/>
      <c r="AP28" s="28"/>
      <c r="AQ28" s="26">
        <f t="shared" si="7"/>
        <v>83</v>
      </c>
      <c r="AR28" s="28">
        <v>70</v>
      </c>
      <c r="AS28" s="28"/>
      <c r="AT28" s="28"/>
      <c r="AU28" s="28"/>
      <c r="AV28" s="28"/>
      <c r="AW28" s="27">
        <f t="shared" si="8"/>
        <v>70</v>
      </c>
      <c r="AX28" s="28">
        <v>80</v>
      </c>
      <c r="AY28" s="28"/>
      <c r="AZ28" s="28"/>
      <c r="BA28" s="28"/>
      <c r="BB28" s="28"/>
      <c r="BC28" s="26">
        <f t="shared" si="9"/>
        <v>80</v>
      </c>
      <c r="BD28" s="28">
        <v>78</v>
      </c>
      <c r="BE28" s="28"/>
      <c r="BF28" s="27">
        <f t="shared" si="10"/>
        <v>78</v>
      </c>
      <c r="BG28" s="28">
        <v>82</v>
      </c>
      <c r="BH28" s="28"/>
      <c r="BI28" s="26">
        <f t="shared" si="11"/>
        <v>82</v>
      </c>
      <c r="BJ28" s="28">
        <v>78</v>
      </c>
      <c r="BK28" s="28"/>
      <c r="BL28" s="27">
        <f t="shared" si="12"/>
        <v>78</v>
      </c>
      <c r="BM28" s="28"/>
      <c r="BN28" s="28"/>
      <c r="BO28" s="28"/>
      <c r="BP28" s="26" t="e">
        <f t="shared" si="13"/>
        <v>#DIV/0!</v>
      </c>
      <c r="BQ28" s="28"/>
      <c r="BR28" s="28"/>
      <c r="BS28" s="28"/>
      <c r="BT28" s="27" t="e">
        <f t="shared" si="14"/>
        <v>#DIV/0!</v>
      </c>
      <c r="BU28" s="28"/>
      <c r="BV28" s="26">
        <f t="shared" si="15"/>
        <v>0</v>
      </c>
      <c r="BW28" s="27"/>
      <c r="BX28" s="28"/>
      <c r="BY28" s="28"/>
      <c r="BZ28" s="27" t="e">
        <f t="shared" si="16"/>
        <v>#DIV/0!</v>
      </c>
      <c r="CA28" s="29" t="str">
        <f t="shared" si="0"/>
        <v/>
      </c>
    </row>
    <row r="29" spans="1:79" ht="14.5">
      <c r="A29" s="22">
        <v>21</v>
      </c>
      <c r="B29" s="23">
        <f>BIODATA!B44</f>
        <v>0</v>
      </c>
      <c r="C29" s="23">
        <f>BIODATA!C44</f>
        <v>0</v>
      </c>
      <c r="D29" s="24" t="str">
        <f>BIODATA!D44</f>
        <v>MUKHAMMAD ILHAM WIDIANTO</v>
      </c>
      <c r="E29" s="23" t="str">
        <f>BIODATA!H44</f>
        <v>L</v>
      </c>
      <c r="F29" s="22" t="str">
        <f>BIODATA!E44</f>
        <v>X TKR 1</v>
      </c>
      <c r="G29" s="25">
        <v>83</v>
      </c>
      <c r="H29" s="25"/>
      <c r="I29" s="25"/>
      <c r="J29" s="25"/>
      <c r="K29" s="25"/>
      <c r="L29" s="26">
        <f t="shared" si="1"/>
        <v>83</v>
      </c>
      <c r="M29" s="25">
        <v>79</v>
      </c>
      <c r="N29" s="25"/>
      <c r="O29" s="25"/>
      <c r="P29" s="25"/>
      <c r="Q29" s="25"/>
      <c r="R29" s="27">
        <f t="shared" si="2"/>
        <v>79</v>
      </c>
      <c r="S29" s="25">
        <v>82</v>
      </c>
      <c r="T29" s="25"/>
      <c r="U29" s="25"/>
      <c r="V29" s="25"/>
      <c r="W29" s="25"/>
      <c r="X29" s="26">
        <f t="shared" si="3"/>
        <v>82</v>
      </c>
      <c r="Y29" s="25">
        <v>87</v>
      </c>
      <c r="Z29" s="25"/>
      <c r="AA29" s="25"/>
      <c r="AB29" s="25"/>
      <c r="AC29" s="27">
        <f t="shared" si="4"/>
        <v>87</v>
      </c>
      <c r="AD29" s="25">
        <v>85</v>
      </c>
      <c r="AE29" s="25"/>
      <c r="AF29" s="25"/>
      <c r="AG29" s="25"/>
      <c r="AH29" s="26">
        <f t="shared" si="5"/>
        <v>85</v>
      </c>
      <c r="AI29" s="25">
        <v>90</v>
      </c>
      <c r="AJ29" s="25"/>
      <c r="AK29" s="27">
        <f t="shared" si="6"/>
        <v>90</v>
      </c>
      <c r="AL29" s="28">
        <v>83</v>
      </c>
      <c r="AM29" s="28"/>
      <c r="AN29" s="28"/>
      <c r="AO29" s="28"/>
      <c r="AP29" s="28"/>
      <c r="AQ29" s="26">
        <f t="shared" si="7"/>
        <v>83</v>
      </c>
      <c r="AR29" s="28">
        <v>0</v>
      </c>
      <c r="AS29" s="28"/>
      <c r="AT29" s="28"/>
      <c r="AU29" s="28"/>
      <c r="AV29" s="28"/>
      <c r="AW29" s="27">
        <f t="shared" si="8"/>
        <v>0</v>
      </c>
      <c r="AX29" s="28">
        <v>78</v>
      </c>
      <c r="AY29" s="28"/>
      <c r="AZ29" s="28"/>
      <c r="BA29" s="28"/>
      <c r="BB29" s="28"/>
      <c r="BC29" s="26">
        <f t="shared" si="9"/>
        <v>78</v>
      </c>
      <c r="BD29" s="28">
        <v>78</v>
      </c>
      <c r="BE29" s="28"/>
      <c r="BF29" s="27">
        <f t="shared" si="10"/>
        <v>78</v>
      </c>
      <c r="BG29" s="28">
        <v>80</v>
      </c>
      <c r="BH29" s="28"/>
      <c r="BI29" s="26">
        <f t="shared" si="11"/>
        <v>80</v>
      </c>
      <c r="BJ29" s="28">
        <v>78</v>
      </c>
      <c r="BK29" s="28"/>
      <c r="BL29" s="27">
        <f t="shared" si="12"/>
        <v>78</v>
      </c>
      <c r="BM29" s="28"/>
      <c r="BN29" s="28"/>
      <c r="BO29" s="28"/>
      <c r="BP29" s="26" t="e">
        <f t="shared" si="13"/>
        <v>#DIV/0!</v>
      </c>
      <c r="BQ29" s="28"/>
      <c r="BR29" s="28"/>
      <c r="BS29" s="28"/>
      <c r="BT29" s="27" t="e">
        <f t="shared" si="14"/>
        <v>#DIV/0!</v>
      </c>
      <c r="BU29" s="28"/>
      <c r="BV29" s="26">
        <f t="shared" si="15"/>
        <v>0</v>
      </c>
      <c r="BW29" s="27"/>
      <c r="BX29" s="28"/>
      <c r="BY29" s="28"/>
      <c r="BZ29" s="27" t="e">
        <f t="shared" si="16"/>
        <v>#DIV/0!</v>
      </c>
      <c r="CA29" s="29" t="str">
        <f t="shared" si="0"/>
        <v/>
      </c>
    </row>
    <row r="30" spans="1:79" ht="14.5">
      <c r="A30" s="22">
        <v>22</v>
      </c>
      <c r="B30" s="23">
        <f>BIODATA!B45</f>
        <v>0</v>
      </c>
      <c r="C30" s="23">
        <f>BIODATA!C45</f>
        <v>0</v>
      </c>
      <c r="D30" s="24" t="str">
        <f>BIODATA!D45</f>
        <v>PANDU WAHYUDA ARIS HERMAWAN</v>
      </c>
      <c r="E30" s="23" t="str">
        <f>BIODATA!H45</f>
        <v>L</v>
      </c>
      <c r="F30" s="22" t="str">
        <f>BIODATA!E45</f>
        <v>X TKR 1</v>
      </c>
      <c r="G30" s="25">
        <v>90</v>
      </c>
      <c r="H30" s="25"/>
      <c r="I30" s="25"/>
      <c r="J30" s="25"/>
      <c r="K30" s="25"/>
      <c r="L30" s="26">
        <f t="shared" si="1"/>
        <v>90</v>
      </c>
      <c r="M30" s="25">
        <v>99</v>
      </c>
      <c r="N30" s="25"/>
      <c r="O30" s="25"/>
      <c r="P30" s="25"/>
      <c r="Q30" s="25"/>
      <c r="R30" s="27">
        <f t="shared" si="2"/>
        <v>99</v>
      </c>
      <c r="S30" s="25">
        <v>81</v>
      </c>
      <c r="T30" s="25"/>
      <c r="U30" s="25"/>
      <c r="V30" s="25"/>
      <c r="W30" s="25"/>
      <c r="X30" s="26">
        <f t="shared" si="3"/>
        <v>81</v>
      </c>
      <c r="Y30" s="25">
        <v>85</v>
      </c>
      <c r="Z30" s="25"/>
      <c r="AA30" s="25"/>
      <c r="AB30" s="25"/>
      <c r="AC30" s="27">
        <f t="shared" si="4"/>
        <v>85</v>
      </c>
      <c r="AD30" s="25">
        <v>92</v>
      </c>
      <c r="AE30" s="25"/>
      <c r="AF30" s="25"/>
      <c r="AG30" s="25"/>
      <c r="AH30" s="26">
        <f t="shared" si="5"/>
        <v>92</v>
      </c>
      <c r="AI30" s="25">
        <v>95</v>
      </c>
      <c r="AJ30" s="25"/>
      <c r="AK30" s="27">
        <f t="shared" si="6"/>
        <v>95</v>
      </c>
      <c r="AL30" s="28">
        <v>90</v>
      </c>
      <c r="AM30" s="28"/>
      <c r="AN30" s="28"/>
      <c r="AO30" s="28"/>
      <c r="AP30" s="28"/>
      <c r="AQ30" s="26">
        <f t="shared" si="7"/>
        <v>90</v>
      </c>
      <c r="AR30" s="28">
        <v>80</v>
      </c>
      <c r="AS30" s="28"/>
      <c r="AT30" s="28"/>
      <c r="AU30" s="28"/>
      <c r="AV30" s="28"/>
      <c r="AW30" s="27">
        <f t="shared" si="8"/>
        <v>80</v>
      </c>
      <c r="AX30" s="28">
        <v>89</v>
      </c>
      <c r="AY30" s="28"/>
      <c r="AZ30" s="28"/>
      <c r="BA30" s="28"/>
      <c r="BB30" s="28"/>
      <c r="BC30" s="26">
        <f t="shared" si="9"/>
        <v>89</v>
      </c>
      <c r="BD30" s="28">
        <v>93.333333333333329</v>
      </c>
      <c r="BE30" s="28"/>
      <c r="BF30" s="27">
        <f t="shared" si="10"/>
        <v>93.333333333333329</v>
      </c>
      <c r="BG30" s="28">
        <v>81</v>
      </c>
      <c r="BH30" s="28"/>
      <c r="BI30" s="26">
        <f t="shared" si="11"/>
        <v>81</v>
      </c>
      <c r="BJ30" s="28">
        <v>93.333333333333329</v>
      </c>
      <c r="BK30" s="28"/>
      <c r="BL30" s="27">
        <f t="shared" si="12"/>
        <v>93.333333333333329</v>
      </c>
      <c r="BM30" s="28"/>
      <c r="BN30" s="28"/>
      <c r="BO30" s="28"/>
      <c r="BP30" s="26" t="e">
        <f t="shared" si="13"/>
        <v>#DIV/0!</v>
      </c>
      <c r="BQ30" s="28"/>
      <c r="BR30" s="28"/>
      <c r="BS30" s="28"/>
      <c r="BT30" s="27" t="e">
        <f t="shared" si="14"/>
        <v>#DIV/0!</v>
      </c>
      <c r="BU30" s="28"/>
      <c r="BV30" s="26">
        <f t="shared" si="15"/>
        <v>0</v>
      </c>
      <c r="BW30" s="27"/>
      <c r="BX30" s="28"/>
      <c r="BY30" s="28"/>
      <c r="BZ30" s="27" t="e">
        <f t="shared" si="16"/>
        <v>#DIV/0!</v>
      </c>
      <c r="CA30" s="29" t="str">
        <f t="shared" si="0"/>
        <v/>
      </c>
    </row>
    <row r="31" spans="1:79" ht="14.5">
      <c r="A31" s="22">
        <v>23</v>
      </c>
      <c r="B31" s="23">
        <f>BIODATA!B46</f>
        <v>0</v>
      </c>
      <c r="C31" s="23">
        <f>BIODATA!C46</f>
        <v>0</v>
      </c>
      <c r="D31" s="24" t="str">
        <f>BIODATA!D46</f>
        <v>PUTRA DWI REVANO</v>
      </c>
      <c r="E31" s="23" t="str">
        <f>BIODATA!H46</f>
        <v>L</v>
      </c>
      <c r="F31" s="22" t="str">
        <f>BIODATA!E46</f>
        <v>X TKR 1</v>
      </c>
      <c r="G31" s="25">
        <v>79</v>
      </c>
      <c r="H31" s="25"/>
      <c r="I31" s="25"/>
      <c r="J31" s="25"/>
      <c r="K31" s="25"/>
      <c r="L31" s="26">
        <f t="shared" si="1"/>
        <v>79</v>
      </c>
      <c r="M31" s="25">
        <v>78</v>
      </c>
      <c r="N31" s="25"/>
      <c r="O31" s="25"/>
      <c r="P31" s="25"/>
      <c r="Q31" s="25"/>
      <c r="R31" s="27">
        <f t="shared" si="2"/>
        <v>78</v>
      </c>
      <c r="S31" s="25">
        <v>81</v>
      </c>
      <c r="T31" s="25"/>
      <c r="U31" s="25"/>
      <c r="V31" s="25"/>
      <c r="W31" s="25"/>
      <c r="X31" s="26">
        <f t="shared" si="3"/>
        <v>81</v>
      </c>
      <c r="Y31" s="25">
        <v>86</v>
      </c>
      <c r="Z31" s="25"/>
      <c r="AA31" s="25"/>
      <c r="AB31" s="25"/>
      <c r="AC31" s="27">
        <f t="shared" si="4"/>
        <v>86</v>
      </c>
      <c r="AD31" s="25">
        <v>81</v>
      </c>
      <c r="AE31" s="25"/>
      <c r="AF31" s="25"/>
      <c r="AG31" s="25"/>
      <c r="AH31" s="26">
        <f t="shared" si="5"/>
        <v>81</v>
      </c>
      <c r="AI31" s="25">
        <v>80</v>
      </c>
      <c r="AJ31" s="25"/>
      <c r="AK31" s="27">
        <f t="shared" si="6"/>
        <v>80</v>
      </c>
      <c r="AL31" s="28">
        <v>79</v>
      </c>
      <c r="AM31" s="28"/>
      <c r="AN31" s="28"/>
      <c r="AO31" s="28"/>
      <c r="AP31" s="28"/>
      <c r="AQ31" s="26">
        <f t="shared" si="7"/>
        <v>79</v>
      </c>
      <c r="AR31" s="28">
        <v>80</v>
      </c>
      <c r="AS31" s="28"/>
      <c r="AT31" s="28"/>
      <c r="AU31" s="28"/>
      <c r="AV31" s="28"/>
      <c r="AW31" s="27">
        <f t="shared" si="8"/>
        <v>80</v>
      </c>
      <c r="AX31" s="28">
        <v>80</v>
      </c>
      <c r="AY31" s="28"/>
      <c r="AZ31" s="28"/>
      <c r="BA31" s="28"/>
      <c r="BB31" s="28"/>
      <c r="BC31" s="26">
        <f t="shared" si="9"/>
        <v>80</v>
      </c>
      <c r="BD31" s="28">
        <v>78</v>
      </c>
      <c r="BE31" s="28"/>
      <c r="BF31" s="27">
        <f t="shared" si="10"/>
        <v>78</v>
      </c>
      <c r="BG31" s="28">
        <v>80</v>
      </c>
      <c r="BH31" s="28"/>
      <c r="BI31" s="26">
        <f t="shared" si="11"/>
        <v>80</v>
      </c>
      <c r="BJ31" s="28">
        <v>78</v>
      </c>
      <c r="BK31" s="28"/>
      <c r="BL31" s="27">
        <f t="shared" si="12"/>
        <v>78</v>
      </c>
      <c r="BM31" s="28"/>
      <c r="BN31" s="28"/>
      <c r="BO31" s="28"/>
      <c r="BP31" s="26" t="e">
        <f t="shared" si="13"/>
        <v>#DIV/0!</v>
      </c>
      <c r="BQ31" s="28"/>
      <c r="BR31" s="28"/>
      <c r="BS31" s="28"/>
      <c r="BT31" s="27" t="e">
        <f t="shared" si="14"/>
        <v>#DIV/0!</v>
      </c>
      <c r="BU31" s="28"/>
      <c r="BV31" s="26">
        <f t="shared" si="15"/>
        <v>0</v>
      </c>
      <c r="BW31" s="27"/>
      <c r="BX31" s="28"/>
      <c r="BY31" s="28"/>
      <c r="BZ31" s="27" t="e">
        <f t="shared" si="16"/>
        <v>#DIV/0!</v>
      </c>
      <c r="CA31" s="29" t="str">
        <f t="shared" si="0"/>
        <v/>
      </c>
    </row>
    <row r="32" spans="1:79" ht="14.5">
      <c r="A32" s="22">
        <v>24</v>
      </c>
      <c r="B32" s="23">
        <f>BIODATA!B47</f>
        <v>0</v>
      </c>
      <c r="C32" s="23">
        <f>BIODATA!C47</f>
        <v>0</v>
      </c>
      <c r="D32" s="24" t="str">
        <f>BIODATA!D47</f>
        <v>RAFA ARDIANSYAH</v>
      </c>
      <c r="E32" s="23" t="str">
        <f>BIODATA!H47</f>
        <v>L</v>
      </c>
      <c r="F32" s="22" t="str">
        <f>BIODATA!E47</f>
        <v>X TKR 1</v>
      </c>
      <c r="G32" s="25">
        <v>88</v>
      </c>
      <c r="H32" s="25"/>
      <c r="I32" s="25"/>
      <c r="J32" s="25"/>
      <c r="K32" s="25"/>
      <c r="L32" s="26">
        <f t="shared" si="1"/>
        <v>88</v>
      </c>
      <c r="M32" s="25">
        <v>78</v>
      </c>
      <c r="N32" s="25"/>
      <c r="O32" s="25"/>
      <c r="P32" s="25"/>
      <c r="Q32" s="25"/>
      <c r="R32" s="27">
        <f t="shared" si="2"/>
        <v>78</v>
      </c>
      <c r="S32" s="25">
        <v>82</v>
      </c>
      <c r="T32" s="25"/>
      <c r="U32" s="25"/>
      <c r="V32" s="25"/>
      <c r="W32" s="25"/>
      <c r="X32" s="26">
        <f t="shared" si="3"/>
        <v>82</v>
      </c>
      <c r="Y32" s="25">
        <v>87</v>
      </c>
      <c r="Z32" s="25"/>
      <c r="AA32" s="25"/>
      <c r="AB32" s="25"/>
      <c r="AC32" s="27">
        <f t="shared" si="4"/>
        <v>87</v>
      </c>
      <c r="AD32" s="25">
        <v>90</v>
      </c>
      <c r="AE32" s="25"/>
      <c r="AF32" s="25"/>
      <c r="AG32" s="25"/>
      <c r="AH32" s="26">
        <f t="shared" si="5"/>
        <v>90</v>
      </c>
      <c r="AI32" s="25">
        <v>80</v>
      </c>
      <c r="AJ32" s="25"/>
      <c r="AK32" s="27">
        <f t="shared" si="6"/>
        <v>80</v>
      </c>
      <c r="AL32" s="28">
        <v>88</v>
      </c>
      <c r="AM32" s="28"/>
      <c r="AN32" s="28"/>
      <c r="AO32" s="28"/>
      <c r="AP32" s="28"/>
      <c r="AQ32" s="26">
        <f t="shared" si="7"/>
        <v>88</v>
      </c>
      <c r="AR32" s="28">
        <v>80</v>
      </c>
      <c r="AS32" s="28"/>
      <c r="AT32" s="28"/>
      <c r="AU32" s="28"/>
      <c r="AV32" s="28"/>
      <c r="AW32" s="27">
        <f t="shared" si="8"/>
        <v>80</v>
      </c>
      <c r="AX32" s="28">
        <v>80</v>
      </c>
      <c r="AY32" s="28"/>
      <c r="AZ32" s="28"/>
      <c r="BA32" s="28"/>
      <c r="BB32" s="28"/>
      <c r="BC32" s="26">
        <f t="shared" si="9"/>
        <v>80</v>
      </c>
      <c r="BD32" s="28">
        <v>78</v>
      </c>
      <c r="BE32" s="28"/>
      <c r="BF32" s="27">
        <f t="shared" si="10"/>
        <v>78</v>
      </c>
      <c r="BG32" s="28">
        <v>81</v>
      </c>
      <c r="BH32" s="28"/>
      <c r="BI32" s="26">
        <f t="shared" si="11"/>
        <v>81</v>
      </c>
      <c r="BJ32" s="28">
        <v>78</v>
      </c>
      <c r="BK32" s="28"/>
      <c r="BL32" s="27">
        <f t="shared" si="12"/>
        <v>78</v>
      </c>
      <c r="BM32" s="28"/>
      <c r="BN32" s="28"/>
      <c r="BO32" s="28"/>
      <c r="BP32" s="26" t="e">
        <f t="shared" si="13"/>
        <v>#DIV/0!</v>
      </c>
      <c r="BQ32" s="28"/>
      <c r="BR32" s="28"/>
      <c r="BS32" s="28"/>
      <c r="BT32" s="27" t="e">
        <f t="shared" si="14"/>
        <v>#DIV/0!</v>
      </c>
      <c r="BU32" s="28"/>
      <c r="BV32" s="26">
        <f t="shared" si="15"/>
        <v>0</v>
      </c>
      <c r="BW32" s="27"/>
      <c r="BX32" s="28"/>
      <c r="BY32" s="28"/>
      <c r="BZ32" s="27" t="e">
        <f t="shared" si="16"/>
        <v>#DIV/0!</v>
      </c>
      <c r="CA32" s="29" t="str">
        <f t="shared" si="0"/>
        <v/>
      </c>
    </row>
    <row r="33" spans="1:79" ht="14.5">
      <c r="A33" s="22">
        <v>25</v>
      </c>
      <c r="B33" s="23">
        <f>BIODATA!B48</f>
        <v>0</v>
      </c>
      <c r="C33" s="23">
        <f>BIODATA!C48</f>
        <v>0</v>
      </c>
      <c r="D33" s="24" t="str">
        <f>BIODATA!D48</f>
        <v>RAGIL ROSYID NUR RIDHO</v>
      </c>
      <c r="E33" s="23" t="str">
        <f>BIODATA!H48</f>
        <v>L</v>
      </c>
      <c r="F33" s="22" t="str">
        <f>BIODATA!E48</f>
        <v>X TKR 1</v>
      </c>
      <c r="G33" s="25">
        <v>90</v>
      </c>
      <c r="H33" s="25"/>
      <c r="I33" s="25"/>
      <c r="J33" s="25"/>
      <c r="K33" s="25"/>
      <c r="L33" s="26">
        <f t="shared" si="1"/>
        <v>90</v>
      </c>
      <c r="M33" s="25">
        <v>78</v>
      </c>
      <c r="N33" s="25"/>
      <c r="O33" s="25"/>
      <c r="P33" s="25"/>
      <c r="Q33" s="25"/>
      <c r="R33" s="27">
        <f t="shared" si="2"/>
        <v>78</v>
      </c>
      <c r="S33" s="25">
        <v>80</v>
      </c>
      <c r="T33" s="25"/>
      <c r="U33" s="25"/>
      <c r="V33" s="25"/>
      <c r="W33" s="25"/>
      <c r="X33" s="26">
        <f t="shared" si="3"/>
        <v>80</v>
      </c>
      <c r="Y33" s="25">
        <v>89</v>
      </c>
      <c r="Z33" s="25"/>
      <c r="AA33" s="25"/>
      <c r="AB33" s="25"/>
      <c r="AC33" s="27">
        <f t="shared" si="4"/>
        <v>89</v>
      </c>
      <c r="AD33" s="25">
        <v>92</v>
      </c>
      <c r="AE33" s="25"/>
      <c r="AF33" s="25"/>
      <c r="AG33" s="25"/>
      <c r="AH33" s="26">
        <f t="shared" si="5"/>
        <v>92</v>
      </c>
      <c r="AI33" s="25">
        <v>90</v>
      </c>
      <c r="AJ33" s="25"/>
      <c r="AK33" s="27">
        <f t="shared" si="6"/>
        <v>90</v>
      </c>
      <c r="AL33" s="28">
        <v>90</v>
      </c>
      <c r="AM33" s="28"/>
      <c r="AN33" s="28"/>
      <c r="AO33" s="28"/>
      <c r="AP33" s="28"/>
      <c r="AQ33" s="26">
        <f t="shared" si="7"/>
        <v>90</v>
      </c>
      <c r="AR33" s="28">
        <v>80</v>
      </c>
      <c r="AS33" s="28"/>
      <c r="AT33" s="28"/>
      <c r="AU33" s="28"/>
      <c r="AV33" s="28"/>
      <c r="AW33" s="27">
        <f t="shared" si="8"/>
        <v>80</v>
      </c>
      <c r="AX33" s="28">
        <v>80</v>
      </c>
      <c r="AY33" s="28"/>
      <c r="AZ33" s="28"/>
      <c r="BA33" s="28"/>
      <c r="BB33" s="28"/>
      <c r="BC33" s="26">
        <f t="shared" si="9"/>
        <v>80</v>
      </c>
      <c r="BD33" s="28">
        <v>78</v>
      </c>
      <c r="BE33" s="28"/>
      <c r="BF33" s="27">
        <f t="shared" si="10"/>
        <v>78</v>
      </c>
      <c r="BG33" s="28">
        <v>80</v>
      </c>
      <c r="BH33" s="28"/>
      <c r="BI33" s="26">
        <f t="shared" si="11"/>
        <v>80</v>
      </c>
      <c r="BJ33" s="28">
        <v>78</v>
      </c>
      <c r="BK33" s="28"/>
      <c r="BL33" s="27">
        <f t="shared" si="12"/>
        <v>78</v>
      </c>
      <c r="BM33" s="28"/>
      <c r="BN33" s="28"/>
      <c r="BO33" s="28"/>
      <c r="BP33" s="26" t="e">
        <f t="shared" si="13"/>
        <v>#DIV/0!</v>
      </c>
      <c r="BQ33" s="28"/>
      <c r="BR33" s="28"/>
      <c r="BS33" s="28"/>
      <c r="BT33" s="27" t="e">
        <f t="shared" si="14"/>
        <v>#DIV/0!</v>
      </c>
      <c r="BU33" s="28"/>
      <c r="BV33" s="26">
        <f t="shared" si="15"/>
        <v>0</v>
      </c>
      <c r="BW33" s="27"/>
      <c r="BX33" s="28"/>
      <c r="BY33" s="28"/>
      <c r="BZ33" s="27" t="e">
        <f t="shared" si="16"/>
        <v>#DIV/0!</v>
      </c>
      <c r="CA33" s="29" t="str">
        <f t="shared" si="0"/>
        <v/>
      </c>
    </row>
    <row r="34" spans="1:79" ht="14.5">
      <c r="A34" s="22">
        <v>26</v>
      </c>
      <c r="B34" s="23">
        <f>BIODATA!B49</f>
        <v>0</v>
      </c>
      <c r="C34" s="23">
        <f>BIODATA!C49</f>
        <v>0</v>
      </c>
      <c r="D34" s="24" t="str">
        <f>BIODATA!D49</f>
        <v>RANGGA SAHPUTRA ADI PRATAMA</v>
      </c>
      <c r="E34" s="23" t="str">
        <f>BIODATA!H49</f>
        <v>L</v>
      </c>
      <c r="F34" s="22" t="str">
        <f>BIODATA!E49</f>
        <v>X TKR 1</v>
      </c>
      <c r="G34" s="25">
        <v>83</v>
      </c>
      <c r="H34" s="25"/>
      <c r="I34" s="25"/>
      <c r="J34" s="25"/>
      <c r="K34" s="25"/>
      <c r="L34" s="26">
        <f t="shared" si="1"/>
        <v>83</v>
      </c>
      <c r="M34" s="25">
        <v>89</v>
      </c>
      <c r="N34" s="25"/>
      <c r="O34" s="25"/>
      <c r="P34" s="25"/>
      <c r="Q34" s="25"/>
      <c r="R34" s="27">
        <f t="shared" si="2"/>
        <v>89</v>
      </c>
      <c r="S34" s="25">
        <v>80</v>
      </c>
      <c r="T34" s="25"/>
      <c r="U34" s="25"/>
      <c r="V34" s="25"/>
      <c r="W34" s="25"/>
      <c r="X34" s="26">
        <f t="shared" si="3"/>
        <v>80</v>
      </c>
      <c r="Y34" s="25">
        <v>88</v>
      </c>
      <c r="Z34" s="25"/>
      <c r="AA34" s="25"/>
      <c r="AB34" s="25"/>
      <c r="AC34" s="27">
        <f t="shared" si="4"/>
        <v>88</v>
      </c>
      <c r="AD34" s="25">
        <v>85</v>
      </c>
      <c r="AE34" s="25"/>
      <c r="AF34" s="25"/>
      <c r="AG34" s="25"/>
      <c r="AH34" s="26">
        <f t="shared" si="5"/>
        <v>85</v>
      </c>
      <c r="AI34" s="25">
        <v>80</v>
      </c>
      <c r="AJ34" s="25"/>
      <c r="AK34" s="27">
        <f t="shared" si="6"/>
        <v>80</v>
      </c>
      <c r="AL34" s="28">
        <v>83</v>
      </c>
      <c r="AM34" s="28"/>
      <c r="AN34" s="28"/>
      <c r="AO34" s="28"/>
      <c r="AP34" s="28"/>
      <c r="AQ34" s="26">
        <f t="shared" si="7"/>
        <v>83</v>
      </c>
      <c r="AR34" s="28">
        <v>80</v>
      </c>
      <c r="AS34" s="28"/>
      <c r="AT34" s="28"/>
      <c r="AU34" s="28"/>
      <c r="AV34" s="28"/>
      <c r="AW34" s="27">
        <f t="shared" si="8"/>
        <v>80</v>
      </c>
      <c r="AX34" s="28">
        <v>80</v>
      </c>
      <c r="AY34" s="28"/>
      <c r="AZ34" s="28"/>
      <c r="BA34" s="28"/>
      <c r="BB34" s="28"/>
      <c r="BC34" s="26">
        <f t="shared" si="9"/>
        <v>80</v>
      </c>
      <c r="BD34" s="28">
        <v>78</v>
      </c>
      <c r="BE34" s="28"/>
      <c r="BF34" s="27">
        <f t="shared" si="10"/>
        <v>78</v>
      </c>
      <c r="BG34" s="28">
        <v>80</v>
      </c>
      <c r="BH34" s="28"/>
      <c r="BI34" s="26">
        <f t="shared" si="11"/>
        <v>80</v>
      </c>
      <c r="BJ34" s="28">
        <v>78</v>
      </c>
      <c r="BK34" s="28"/>
      <c r="BL34" s="27">
        <f t="shared" si="12"/>
        <v>78</v>
      </c>
      <c r="BM34" s="28"/>
      <c r="BN34" s="28"/>
      <c r="BO34" s="28"/>
      <c r="BP34" s="26" t="e">
        <f t="shared" si="13"/>
        <v>#DIV/0!</v>
      </c>
      <c r="BQ34" s="28"/>
      <c r="BR34" s="28"/>
      <c r="BS34" s="28"/>
      <c r="BT34" s="27" t="e">
        <f t="shared" si="14"/>
        <v>#DIV/0!</v>
      </c>
      <c r="BU34" s="28"/>
      <c r="BV34" s="26">
        <f t="shared" si="15"/>
        <v>0</v>
      </c>
      <c r="BW34" s="27"/>
      <c r="BX34" s="28"/>
      <c r="BY34" s="28"/>
      <c r="BZ34" s="27" t="e">
        <f t="shared" si="16"/>
        <v>#DIV/0!</v>
      </c>
      <c r="CA34" s="29" t="str">
        <f t="shared" si="0"/>
        <v/>
      </c>
    </row>
    <row r="35" spans="1:79" ht="14.5">
      <c r="A35" s="22">
        <v>27</v>
      </c>
      <c r="B35" s="23">
        <f>BIODATA!B50</f>
        <v>0</v>
      </c>
      <c r="C35" s="23">
        <f>BIODATA!C50</f>
        <v>0</v>
      </c>
      <c r="D35" s="24" t="str">
        <f>BIODATA!D50</f>
        <v>RIFQI AL GHIFFARI ZAIDAN ZUHDI</v>
      </c>
      <c r="E35" s="23" t="str">
        <f>BIODATA!H50</f>
        <v>L</v>
      </c>
      <c r="F35" s="22" t="str">
        <f>BIODATA!E50</f>
        <v>X TKR 1</v>
      </c>
      <c r="G35" s="25">
        <v>82</v>
      </c>
      <c r="H35" s="25"/>
      <c r="I35" s="25"/>
      <c r="J35" s="25"/>
      <c r="K35" s="25"/>
      <c r="L35" s="26">
        <f t="shared" si="1"/>
        <v>82</v>
      </c>
      <c r="M35" s="25">
        <v>78</v>
      </c>
      <c r="N35" s="25"/>
      <c r="O35" s="25"/>
      <c r="P35" s="25"/>
      <c r="Q35" s="25"/>
      <c r="R35" s="27">
        <f t="shared" si="2"/>
        <v>78</v>
      </c>
      <c r="S35" s="25">
        <v>81</v>
      </c>
      <c r="T35" s="25"/>
      <c r="U35" s="25"/>
      <c r="V35" s="25"/>
      <c r="W35" s="25"/>
      <c r="X35" s="26">
        <f t="shared" si="3"/>
        <v>81</v>
      </c>
      <c r="Y35" s="25">
        <v>83</v>
      </c>
      <c r="Z35" s="25"/>
      <c r="AA35" s="25"/>
      <c r="AB35" s="25"/>
      <c r="AC35" s="27">
        <f t="shared" si="4"/>
        <v>83</v>
      </c>
      <c r="AD35" s="25">
        <v>84</v>
      </c>
      <c r="AE35" s="25"/>
      <c r="AF35" s="25"/>
      <c r="AG35" s="25"/>
      <c r="AH35" s="26">
        <f t="shared" si="5"/>
        <v>84</v>
      </c>
      <c r="AI35" s="25">
        <v>80</v>
      </c>
      <c r="AJ35" s="25"/>
      <c r="AK35" s="27">
        <f t="shared" si="6"/>
        <v>80</v>
      </c>
      <c r="AL35" s="28">
        <v>82</v>
      </c>
      <c r="AM35" s="28"/>
      <c r="AN35" s="28"/>
      <c r="AO35" s="28"/>
      <c r="AP35" s="28"/>
      <c r="AQ35" s="26">
        <f t="shared" si="7"/>
        <v>82</v>
      </c>
      <c r="AR35" s="28">
        <v>79</v>
      </c>
      <c r="AS35" s="28"/>
      <c r="AT35" s="28"/>
      <c r="AU35" s="28"/>
      <c r="AV35" s="28"/>
      <c r="AW35" s="27">
        <f t="shared" si="8"/>
        <v>79</v>
      </c>
      <c r="AX35" s="28">
        <v>84</v>
      </c>
      <c r="AY35" s="28"/>
      <c r="AZ35" s="28"/>
      <c r="BA35" s="28"/>
      <c r="BB35" s="28"/>
      <c r="BC35" s="26">
        <f t="shared" si="9"/>
        <v>84</v>
      </c>
      <c r="BD35" s="28">
        <v>83</v>
      </c>
      <c r="BE35" s="28"/>
      <c r="BF35" s="27">
        <f t="shared" si="10"/>
        <v>83</v>
      </c>
      <c r="BG35" s="28">
        <v>82</v>
      </c>
      <c r="BH35" s="28"/>
      <c r="BI35" s="26">
        <f t="shared" si="11"/>
        <v>82</v>
      </c>
      <c r="BJ35" s="28">
        <v>83</v>
      </c>
      <c r="BK35" s="28"/>
      <c r="BL35" s="27">
        <f t="shared" si="12"/>
        <v>83</v>
      </c>
      <c r="BM35" s="28"/>
      <c r="BN35" s="28"/>
      <c r="BO35" s="28"/>
      <c r="BP35" s="26" t="e">
        <f t="shared" si="13"/>
        <v>#DIV/0!</v>
      </c>
      <c r="BQ35" s="28"/>
      <c r="BR35" s="28"/>
      <c r="BS35" s="28"/>
      <c r="BT35" s="27" t="e">
        <f t="shared" si="14"/>
        <v>#DIV/0!</v>
      </c>
      <c r="BU35" s="28"/>
      <c r="BV35" s="26">
        <f t="shared" si="15"/>
        <v>0</v>
      </c>
      <c r="BW35" s="27"/>
      <c r="BX35" s="28"/>
      <c r="BY35" s="28"/>
      <c r="BZ35" s="27" t="e">
        <f t="shared" si="16"/>
        <v>#DIV/0!</v>
      </c>
      <c r="CA35" s="29" t="str">
        <f t="shared" si="0"/>
        <v/>
      </c>
    </row>
    <row r="36" spans="1:79" ht="14.5">
      <c r="A36" s="22">
        <v>28</v>
      </c>
      <c r="B36" s="23">
        <f>BIODATA!B51</f>
        <v>0</v>
      </c>
      <c r="C36" s="23">
        <f>BIODATA!C51</f>
        <v>0</v>
      </c>
      <c r="D36" s="24" t="str">
        <f>BIODATA!D51</f>
        <v>SAPUTRA DWI ERLANGGA</v>
      </c>
      <c r="E36" s="23" t="str">
        <f>BIODATA!H51</f>
        <v>L</v>
      </c>
      <c r="F36" s="22" t="str">
        <f>BIODATA!E51</f>
        <v>X TKR 1</v>
      </c>
      <c r="G36" s="25">
        <v>85</v>
      </c>
      <c r="H36" s="25"/>
      <c r="I36" s="25"/>
      <c r="J36" s="25"/>
      <c r="K36" s="25"/>
      <c r="L36" s="26">
        <f t="shared" si="1"/>
        <v>85</v>
      </c>
      <c r="M36" s="25">
        <v>78</v>
      </c>
      <c r="N36" s="25"/>
      <c r="O36" s="25"/>
      <c r="P36" s="25"/>
      <c r="Q36" s="25"/>
      <c r="R36" s="27">
        <f t="shared" si="2"/>
        <v>78</v>
      </c>
      <c r="S36" s="25">
        <v>81</v>
      </c>
      <c r="T36" s="25"/>
      <c r="U36" s="25"/>
      <c r="V36" s="25"/>
      <c r="W36" s="25"/>
      <c r="X36" s="26">
        <f t="shared" si="3"/>
        <v>81</v>
      </c>
      <c r="Y36" s="25">
        <v>86</v>
      </c>
      <c r="Z36" s="25"/>
      <c r="AA36" s="25"/>
      <c r="AB36" s="25"/>
      <c r="AC36" s="27">
        <f t="shared" si="4"/>
        <v>86</v>
      </c>
      <c r="AD36" s="25">
        <v>86</v>
      </c>
      <c r="AE36" s="25"/>
      <c r="AF36" s="25"/>
      <c r="AG36" s="25"/>
      <c r="AH36" s="26">
        <f t="shared" si="5"/>
        <v>86</v>
      </c>
      <c r="AI36" s="25">
        <v>90</v>
      </c>
      <c r="AJ36" s="25"/>
      <c r="AK36" s="27">
        <f t="shared" si="6"/>
        <v>90</v>
      </c>
      <c r="AL36" s="28">
        <v>85</v>
      </c>
      <c r="AM36" s="28"/>
      <c r="AN36" s="28"/>
      <c r="AO36" s="28"/>
      <c r="AP36" s="28"/>
      <c r="AQ36" s="26">
        <f t="shared" si="7"/>
        <v>85</v>
      </c>
      <c r="AR36" s="28">
        <v>70</v>
      </c>
      <c r="AS36" s="28"/>
      <c r="AT36" s="28"/>
      <c r="AU36" s="28"/>
      <c r="AV36" s="28"/>
      <c r="AW36" s="27">
        <f t="shared" si="8"/>
        <v>70</v>
      </c>
      <c r="AX36" s="28">
        <v>78</v>
      </c>
      <c r="AY36" s="28"/>
      <c r="AZ36" s="28"/>
      <c r="BA36" s="28"/>
      <c r="BB36" s="28"/>
      <c r="BC36" s="26">
        <f t="shared" si="9"/>
        <v>78</v>
      </c>
      <c r="BD36" s="28">
        <v>78</v>
      </c>
      <c r="BE36" s="28"/>
      <c r="BF36" s="27">
        <f t="shared" si="10"/>
        <v>78</v>
      </c>
      <c r="BG36" s="28">
        <v>82</v>
      </c>
      <c r="BH36" s="28"/>
      <c r="BI36" s="26">
        <f t="shared" si="11"/>
        <v>82</v>
      </c>
      <c r="BJ36" s="28">
        <v>78</v>
      </c>
      <c r="BK36" s="28"/>
      <c r="BL36" s="27">
        <f t="shared" si="12"/>
        <v>78</v>
      </c>
      <c r="BM36" s="28"/>
      <c r="BN36" s="28"/>
      <c r="BO36" s="28"/>
      <c r="BP36" s="26" t="e">
        <f t="shared" si="13"/>
        <v>#DIV/0!</v>
      </c>
      <c r="BQ36" s="28"/>
      <c r="BR36" s="28"/>
      <c r="BS36" s="28"/>
      <c r="BT36" s="27" t="e">
        <f t="shared" si="14"/>
        <v>#DIV/0!</v>
      </c>
      <c r="BU36" s="28"/>
      <c r="BV36" s="26">
        <f t="shared" si="15"/>
        <v>0</v>
      </c>
      <c r="BW36" s="27"/>
      <c r="BX36" s="28"/>
      <c r="BY36" s="28"/>
      <c r="BZ36" s="27" t="e">
        <f t="shared" si="16"/>
        <v>#DIV/0!</v>
      </c>
      <c r="CA36" s="29" t="str">
        <f t="shared" si="0"/>
        <v/>
      </c>
    </row>
    <row r="37" spans="1:79" ht="14.5">
      <c r="A37" s="22">
        <v>29</v>
      </c>
      <c r="B37" s="23">
        <f>BIODATA!B52</f>
        <v>0</v>
      </c>
      <c r="C37" s="23">
        <f>BIODATA!C52</f>
        <v>0</v>
      </c>
      <c r="D37" s="24" t="str">
        <f>BIODATA!D52</f>
        <v>SHANDY SETYA PRAYOGA</v>
      </c>
      <c r="E37" s="23" t="str">
        <f>BIODATA!H52</f>
        <v>L</v>
      </c>
      <c r="F37" s="22" t="str">
        <f>BIODATA!E52</f>
        <v>X TKR 1</v>
      </c>
      <c r="G37" s="25">
        <v>82</v>
      </c>
      <c r="H37" s="25"/>
      <c r="I37" s="25"/>
      <c r="J37" s="25"/>
      <c r="K37" s="25"/>
      <c r="L37" s="26">
        <f t="shared" si="1"/>
        <v>82</v>
      </c>
      <c r="M37" s="25">
        <v>78</v>
      </c>
      <c r="N37" s="25"/>
      <c r="O37" s="25"/>
      <c r="P37" s="25"/>
      <c r="Q37" s="25"/>
      <c r="R37" s="27">
        <f t="shared" si="2"/>
        <v>78</v>
      </c>
      <c r="S37" s="25">
        <v>81</v>
      </c>
      <c r="T37" s="25"/>
      <c r="U37" s="25"/>
      <c r="V37" s="25"/>
      <c r="W37" s="25"/>
      <c r="X37" s="26">
        <f t="shared" si="3"/>
        <v>81</v>
      </c>
      <c r="Y37" s="25">
        <v>85</v>
      </c>
      <c r="Z37" s="25"/>
      <c r="AA37" s="25"/>
      <c r="AB37" s="25"/>
      <c r="AC37" s="27">
        <f t="shared" si="4"/>
        <v>85</v>
      </c>
      <c r="AD37" s="25">
        <v>84</v>
      </c>
      <c r="AE37" s="25"/>
      <c r="AF37" s="25"/>
      <c r="AG37" s="25"/>
      <c r="AH37" s="26">
        <f t="shared" si="5"/>
        <v>84</v>
      </c>
      <c r="AI37" s="25">
        <v>85</v>
      </c>
      <c r="AJ37" s="25"/>
      <c r="AK37" s="27">
        <f t="shared" si="6"/>
        <v>85</v>
      </c>
      <c r="AL37" s="28">
        <v>82</v>
      </c>
      <c r="AM37" s="28"/>
      <c r="AN37" s="28"/>
      <c r="AO37" s="28"/>
      <c r="AP37" s="28"/>
      <c r="AQ37" s="26">
        <f t="shared" si="7"/>
        <v>82</v>
      </c>
      <c r="AR37" s="28">
        <v>79</v>
      </c>
      <c r="AS37" s="28"/>
      <c r="AT37" s="28"/>
      <c r="AU37" s="28"/>
      <c r="AV37" s="28"/>
      <c r="AW37" s="27">
        <f t="shared" si="8"/>
        <v>79</v>
      </c>
      <c r="AX37" s="28">
        <v>78</v>
      </c>
      <c r="AY37" s="28"/>
      <c r="AZ37" s="28"/>
      <c r="BA37" s="28"/>
      <c r="BB37" s="28"/>
      <c r="BC37" s="26">
        <f t="shared" si="9"/>
        <v>78</v>
      </c>
      <c r="BD37" s="28">
        <v>78</v>
      </c>
      <c r="BE37" s="28"/>
      <c r="BF37" s="27">
        <f t="shared" si="10"/>
        <v>78</v>
      </c>
      <c r="BG37" s="28">
        <v>80</v>
      </c>
      <c r="BH37" s="28"/>
      <c r="BI37" s="26">
        <f>AVERAGE(BG37:BH37)</f>
        <v>80</v>
      </c>
      <c r="BJ37" s="28">
        <v>78</v>
      </c>
      <c r="BK37" s="28"/>
      <c r="BL37" s="27">
        <f t="shared" si="12"/>
        <v>78</v>
      </c>
      <c r="BM37" s="28"/>
      <c r="BN37" s="28"/>
      <c r="BO37" s="28"/>
      <c r="BP37" s="26" t="e">
        <f t="shared" si="13"/>
        <v>#DIV/0!</v>
      </c>
      <c r="BQ37" s="28"/>
      <c r="BR37" s="28"/>
      <c r="BS37" s="28"/>
      <c r="BT37" s="27" t="e">
        <f t="shared" si="14"/>
        <v>#DIV/0!</v>
      </c>
      <c r="BU37" s="28"/>
      <c r="BV37" s="26">
        <f t="shared" si="15"/>
        <v>0</v>
      </c>
      <c r="BW37" s="27"/>
      <c r="BX37" s="28"/>
      <c r="BY37" s="28"/>
      <c r="BZ37" s="27" t="e">
        <f t="shared" si="16"/>
        <v>#DIV/0!</v>
      </c>
      <c r="CA37" s="29" t="str">
        <f t="shared" si="0"/>
        <v/>
      </c>
    </row>
    <row r="38" spans="1:79" ht="14.5">
      <c r="A38" s="22">
        <v>30</v>
      </c>
      <c r="B38" s="23">
        <f>BIODATA!B53</f>
        <v>0</v>
      </c>
      <c r="C38" s="23">
        <f>BIODATA!C53</f>
        <v>0</v>
      </c>
      <c r="D38" s="24" t="str">
        <f>BIODATA!D53</f>
        <v>TIO ANDIKA EKO SAPUTRA</v>
      </c>
      <c r="E38" s="23" t="str">
        <f>BIODATA!H53</f>
        <v>L</v>
      </c>
      <c r="F38" s="22" t="str">
        <f>BIODATA!E53</f>
        <v>X TKR 1</v>
      </c>
      <c r="G38" s="25">
        <v>86</v>
      </c>
      <c r="H38" s="25"/>
      <c r="I38" s="25"/>
      <c r="J38" s="25"/>
      <c r="K38" s="25"/>
      <c r="L38" s="26">
        <f t="shared" si="1"/>
        <v>86</v>
      </c>
      <c r="M38" s="25">
        <v>89</v>
      </c>
      <c r="N38" s="25"/>
      <c r="O38" s="25"/>
      <c r="P38" s="25"/>
      <c r="Q38" s="25"/>
      <c r="R38" s="27">
        <f t="shared" si="2"/>
        <v>89</v>
      </c>
      <c r="S38" s="25">
        <v>82</v>
      </c>
      <c r="T38" s="25"/>
      <c r="U38" s="25"/>
      <c r="V38" s="25"/>
      <c r="W38" s="25"/>
      <c r="X38" s="26">
        <f t="shared" si="3"/>
        <v>82</v>
      </c>
      <c r="Y38" s="25">
        <v>87</v>
      </c>
      <c r="Z38" s="25"/>
      <c r="AA38" s="25"/>
      <c r="AB38" s="25"/>
      <c r="AC38" s="27">
        <f t="shared" si="4"/>
        <v>87</v>
      </c>
      <c r="AD38" s="25">
        <v>88</v>
      </c>
      <c r="AE38" s="25"/>
      <c r="AF38" s="25"/>
      <c r="AG38" s="25"/>
      <c r="AH38" s="26">
        <f t="shared" si="5"/>
        <v>88</v>
      </c>
      <c r="AI38" s="25">
        <v>85</v>
      </c>
      <c r="AJ38" s="25"/>
      <c r="AK38" s="27">
        <f t="shared" si="6"/>
        <v>85</v>
      </c>
      <c r="AL38" s="28">
        <v>86</v>
      </c>
      <c r="AM38" s="28"/>
      <c r="AN38" s="28"/>
      <c r="AO38" s="28"/>
      <c r="AP38" s="28"/>
      <c r="AQ38" s="26">
        <f t="shared" si="7"/>
        <v>86</v>
      </c>
      <c r="AR38" s="28">
        <v>80</v>
      </c>
      <c r="AS38" s="28"/>
      <c r="AT38" s="28"/>
      <c r="AU38" s="28"/>
      <c r="AV38" s="28"/>
      <c r="AW38" s="27">
        <f t="shared" si="8"/>
        <v>80</v>
      </c>
      <c r="AX38" s="28">
        <v>84</v>
      </c>
      <c r="AY38" s="28"/>
      <c r="AZ38" s="28"/>
      <c r="BA38" s="28"/>
      <c r="BB38" s="28"/>
      <c r="BC38" s="26">
        <f t="shared" si="9"/>
        <v>84</v>
      </c>
      <c r="BD38" s="28">
        <v>88.333333333333343</v>
      </c>
      <c r="BE38" s="28"/>
      <c r="BF38" s="27">
        <f t="shared" si="10"/>
        <v>88.333333333333343</v>
      </c>
      <c r="BG38" s="28">
        <v>80</v>
      </c>
      <c r="BH38" s="28"/>
      <c r="BI38" s="26">
        <f t="shared" si="11"/>
        <v>80</v>
      </c>
      <c r="BJ38" s="28">
        <v>88.333333333333343</v>
      </c>
      <c r="BK38" s="28"/>
      <c r="BL38" s="27">
        <f t="shared" si="12"/>
        <v>88.333333333333343</v>
      </c>
      <c r="BM38" s="28"/>
      <c r="BN38" s="28"/>
      <c r="BO38" s="28"/>
      <c r="BP38" s="26" t="e">
        <f t="shared" si="13"/>
        <v>#DIV/0!</v>
      </c>
      <c r="BQ38" s="28"/>
      <c r="BR38" s="28"/>
      <c r="BS38" s="28"/>
      <c r="BT38" s="27" t="e">
        <f t="shared" si="14"/>
        <v>#DIV/0!</v>
      </c>
      <c r="BU38" s="28"/>
      <c r="BV38" s="26">
        <f t="shared" si="15"/>
        <v>0</v>
      </c>
      <c r="BW38" s="27"/>
      <c r="BX38" s="28"/>
      <c r="BY38" s="28"/>
      <c r="BZ38" s="27" t="e">
        <f t="shared" si="16"/>
        <v>#DIV/0!</v>
      </c>
      <c r="CA38" s="29" t="str">
        <f t="shared" si="0"/>
        <v/>
      </c>
    </row>
    <row r="39" spans="1:79" ht="14.5">
      <c r="A39" s="22">
        <v>31</v>
      </c>
      <c r="B39" s="23">
        <f>BIODATA!B54</f>
        <v>0</v>
      </c>
      <c r="C39" s="23">
        <f>BIODATA!C54</f>
        <v>0</v>
      </c>
      <c r="D39" s="24" t="str">
        <f>BIODATA!D54</f>
        <v>WIBHY EVAN RAMADHAN</v>
      </c>
      <c r="E39" s="23" t="str">
        <f>BIODATA!H54</f>
        <v>L</v>
      </c>
      <c r="F39" s="22" t="str">
        <f>BIODATA!E54</f>
        <v>X TKR 1</v>
      </c>
      <c r="G39" s="25">
        <v>85</v>
      </c>
      <c r="H39" s="25"/>
      <c r="I39" s="25"/>
      <c r="J39" s="25"/>
      <c r="K39" s="25"/>
      <c r="L39" s="26">
        <f t="shared" si="1"/>
        <v>85</v>
      </c>
      <c r="M39" s="25">
        <v>89</v>
      </c>
      <c r="N39" s="25"/>
      <c r="O39" s="25"/>
      <c r="P39" s="25"/>
      <c r="Q39" s="25"/>
      <c r="R39" s="27">
        <f t="shared" si="2"/>
        <v>89</v>
      </c>
      <c r="S39" s="25">
        <v>80</v>
      </c>
      <c r="T39" s="25"/>
      <c r="U39" s="25"/>
      <c r="V39" s="25"/>
      <c r="W39" s="25"/>
      <c r="X39" s="26">
        <f t="shared" si="3"/>
        <v>80</v>
      </c>
      <c r="Y39" s="25">
        <v>86</v>
      </c>
      <c r="Z39" s="25"/>
      <c r="AA39" s="25"/>
      <c r="AB39" s="25"/>
      <c r="AC39" s="27">
        <f t="shared" si="4"/>
        <v>86</v>
      </c>
      <c r="AD39" s="25">
        <v>87</v>
      </c>
      <c r="AE39" s="25"/>
      <c r="AF39" s="25"/>
      <c r="AG39" s="25"/>
      <c r="AH39" s="26">
        <f t="shared" si="5"/>
        <v>87</v>
      </c>
      <c r="AI39" s="25">
        <v>88</v>
      </c>
      <c r="AJ39" s="25"/>
      <c r="AK39" s="27">
        <f t="shared" si="6"/>
        <v>88</v>
      </c>
      <c r="AL39" s="28">
        <v>85</v>
      </c>
      <c r="AM39" s="28"/>
      <c r="AN39" s="28"/>
      <c r="AO39" s="28"/>
      <c r="AP39" s="28"/>
      <c r="AQ39" s="26">
        <f t="shared" si="7"/>
        <v>85</v>
      </c>
      <c r="AR39" s="28">
        <v>80</v>
      </c>
      <c r="AS39" s="28"/>
      <c r="AT39" s="28"/>
      <c r="AU39" s="28"/>
      <c r="AV39" s="28"/>
      <c r="AW39" s="27">
        <f t="shared" si="8"/>
        <v>80</v>
      </c>
      <c r="AX39" s="28">
        <v>89</v>
      </c>
      <c r="AY39" s="28"/>
      <c r="AZ39" s="28"/>
      <c r="BA39" s="28"/>
      <c r="BB39" s="28"/>
      <c r="BC39" s="26">
        <f t="shared" si="9"/>
        <v>89</v>
      </c>
      <c r="BD39" s="28">
        <v>86.333333333333343</v>
      </c>
      <c r="BE39" s="28"/>
      <c r="BF39" s="27">
        <f t="shared" si="10"/>
        <v>86.333333333333343</v>
      </c>
      <c r="BG39" s="28">
        <v>82</v>
      </c>
      <c r="BH39" s="28"/>
      <c r="BI39" s="26">
        <f t="shared" si="11"/>
        <v>82</v>
      </c>
      <c r="BJ39" s="28">
        <v>86.333333333333343</v>
      </c>
      <c r="BK39" s="28"/>
      <c r="BL39" s="27">
        <f t="shared" si="12"/>
        <v>86.333333333333343</v>
      </c>
      <c r="BM39" s="28"/>
      <c r="BN39" s="28"/>
      <c r="BO39" s="28"/>
      <c r="BP39" s="26" t="e">
        <f t="shared" si="13"/>
        <v>#DIV/0!</v>
      </c>
      <c r="BQ39" s="28"/>
      <c r="BR39" s="28"/>
      <c r="BS39" s="28"/>
      <c r="BT39" s="27" t="e">
        <f t="shared" si="14"/>
        <v>#DIV/0!</v>
      </c>
      <c r="BU39" s="28"/>
      <c r="BV39" s="26">
        <f t="shared" si="15"/>
        <v>0</v>
      </c>
      <c r="BW39" s="27"/>
      <c r="BX39" s="28"/>
      <c r="BY39" s="28"/>
      <c r="BZ39" s="27" t="e">
        <f t="shared" si="16"/>
        <v>#DIV/0!</v>
      </c>
      <c r="CA39" s="29" t="str">
        <f t="shared" si="0"/>
        <v/>
      </c>
    </row>
    <row r="40" spans="1:79" ht="14.5">
      <c r="A40" s="22">
        <v>32</v>
      </c>
      <c r="B40" s="23">
        <f>BIODATA!B55</f>
        <v>0</v>
      </c>
      <c r="C40" s="23">
        <f>BIODATA!C55</f>
        <v>0</v>
      </c>
      <c r="D40" s="24" t="str">
        <f>BIODATA!D55</f>
        <v>ZAKKI FAJAR ANANTA</v>
      </c>
      <c r="E40" s="23" t="str">
        <f>BIODATA!H55</f>
        <v>L</v>
      </c>
      <c r="F40" s="22" t="str">
        <f>BIODATA!E55</f>
        <v>X TKR 1</v>
      </c>
      <c r="G40" s="25">
        <v>80</v>
      </c>
      <c r="H40" s="25"/>
      <c r="I40" s="25"/>
      <c r="J40" s="25"/>
      <c r="K40" s="25"/>
      <c r="L40" s="26">
        <f t="shared" si="1"/>
        <v>80</v>
      </c>
      <c r="M40" s="25">
        <v>78</v>
      </c>
      <c r="N40" s="25"/>
      <c r="O40" s="25"/>
      <c r="P40" s="25"/>
      <c r="Q40" s="25"/>
      <c r="R40" s="27">
        <f t="shared" si="2"/>
        <v>78</v>
      </c>
      <c r="S40" s="25">
        <v>82</v>
      </c>
      <c r="T40" s="25"/>
      <c r="U40" s="25"/>
      <c r="V40" s="25"/>
      <c r="W40" s="25"/>
      <c r="X40" s="26">
        <f t="shared" si="3"/>
        <v>82</v>
      </c>
      <c r="Y40" s="25">
        <v>88</v>
      </c>
      <c r="Z40" s="25"/>
      <c r="AA40" s="25"/>
      <c r="AB40" s="25"/>
      <c r="AC40" s="27">
        <f t="shared" si="4"/>
        <v>88</v>
      </c>
      <c r="AD40" s="25">
        <v>82</v>
      </c>
      <c r="AE40" s="25"/>
      <c r="AF40" s="25"/>
      <c r="AG40" s="25"/>
      <c r="AH40" s="26">
        <f t="shared" si="5"/>
        <v>82</v>
      </c>
      <c r="AI40" s="25">
        <v>85</v>
      </c>
      <c r="AJ40" s="25"/>
      <c r="AK40" s="27">
        <f t="shared" si="6"/>
        <v>85</v>
      </c>
      <c r="AL40" s="28">
        <v>80</v>
      </c>
      <c r="AM40" s="28"/>
      <c r="AN40" s="28"/>
      <c r="AO40" s="28"/>
      <c r="AP40" s="28"/>
      <c r="AQ40" s="26">
        <f t="shared" si="7"/>
        <v>80</v>
      </c>
      <c r="AR40" s="28">
        <v>79</v>
      </c>
      <c r="AS40" s="28"/>
      <c r="AT40" s="28"/>
      <c r="AU40" s="28"/>
      <c r="AV40" s="28"/>
      <c r="AW40" s="27">
        <f t="shared" si="8"/>
        <v>79</v>
      </c>
      <c r="AX40" s="28">
        <v>78</v>
      </c>
      <c r="AY40" s="28"/>
      <c r="AZ40" s="28"/>
      <c r="BA40" s="28"/>
      <c r="BB40" s="28"/>
      <c r="BC40" s="26">
        <f t="shared" si="9"/>
        <v>78</v>
      </c>
      <c r="BD40" s="28">
        <v>78</v>
      </c>
      <c r="BE40" s="28"/>
      <c r="BF40" s="27">
        <f t="shared" si="10"/>
        <v>78</v>
      </c>
      <c r="BG40" s="28">
        <v>82</v>
      </c>
      <c r="BH40" s="28"/>
      <c r="BI40" s="26">
        <f t="shared" si="11"/>
        <v>82</v>
      </c>
      <c r="BJ40" s="28">
        <v>78</v>
      </c>
      <c r="BK40" s="28"/>
      <c r="BL40" s="27">
        <f t="shared" si="12"/>
        <v>78</v>
      </c>
      <c r="BM40" s="28"/>
      <c r="BN40" s="28"/>
      <c r="BO40" s="28"/>
      <c r="BP40" s="26" t="e">
        <f t="shared" si="13"/>
        <v>#DIV/0!</v>
      </c>
      <c r="BQ40" s="28"/>
      <c r="BR40" s="28"/>
      <c r="BS40" s="28"/>
      <c r="BT40" s="27" t="e">
        <f t="shared" si="14"/>
        <v>#DIV/0!</v>
      </c>
      <c r="BU40" s="28"/>
      <c r="BV40" s="26">
        <f t="shared" si="15"/>
        <v>0</v>
      </c>
      <c r="BW40" s="27"/>
      <c r="BX40" s="28"/>
      <c r="BY40" s="28"/>
      <c r="BZ40" s="27" t="e">
        <f t="shared" si="16"/>
        <v>#DIV/0!</v>
      </c>
      <c r="CA40" s="29" t="str">
        <f t="shared" si="0"/>
        <v/>
      </c>
    </row>
    <row r="41" spans="1:79" ht="14.5">
      <c r="A41" s="22">
        <v>33</v>
      </c>
      <c r="B41" s="23">
        <f>BIODATA!B56</f>
        <v>0</v>
      </c>
      <c r="C41" s="23">
        <f>BIODATA!C56</f>
        <v>0</v>
      </c>
      <c r="D41" s="24">
        <f>BIODATA!D56</f>
        <v>0</v>
      </c>
      <c r="E41" s="23" t="str">
        <f>BIODATA!H56</f>
        <v>L</v>
      </c>
      <c r="F41" s="22">
        <f>BIODATA!E56</f>
        <v>0</v>
      </c>
      <c r="G41" s="25"/>
      <c r="H41" s="25"/>
      <c r="I41" s="25"/>
      <c r="J41" s="25"/>
      <c r="K41" s="25"/>
      <c r="L41" s="26" t="e">
        <f t="shared" si="1"/>
        <v>#DIV/0!</v>
      </c>
      <c r="M41" s="25"/>
      <c r="N41" s="25"/>
      <c r="O41" s="25"/>
      <c r="P41" s="25"/>
      <c r="Q41" s="25"/>
      <c r="R41" s="27" t="e">
        <f t="shared" si="2"/>
        <v>#DIV/0!</v>
      </c>
      <c r="S41" s="25"/>
      <c r="T41" s="25"/>
      <c r="U41" s="25"/>
      <c r="V41" s="25"/>
      <c r="W41" s="25"/>
      <c r="X41" s="26" t="e">
        <f t="shared" si="3"/>
        <v>#DIV/0!</v>
      </c>
      <c r="Y41" s="25"/>
      <c r="Z41" s="25"/>
      <c r="AA41" s="25"/>
      <c r="AB41" s="25"/>
      <c r="AC41" s="27" t="e">
        <f t="shared" si="4"/>
        <v>#DIV/0!</v>
      </c>
      <c r="AD41" s="25"/>
      <c r="AE41" s="25"/>
      <c r="AF41" s="25"/>
      <c r="AG41" s="25"/>
      <c r="AH41" s="26" t="e">
        <f t="shared" si="5"/>
        <v>#DIV/0!</v>
      </c>
      <c r="AI41" s="25"/>
      <c r="AJ41" s="25"/>
      <c r="AK41" s="27" t="e">
        <f t="shared" si="6"/>
        <v>#DIV/0!</v>
      </c>
      <c r="AL41" s="28"/>
      <c r="AM41" s="28"/>
      <c r="AN41" s="28"/>
      <c r="AO41" s="28"/>
      <c r="AP41" s="28"/>
      <c r="AQ41" s="26" t="e">
        <f t="shared" si="7"/>
        <v>#DIV/0!</v>
      </c>
      <c r="AR41" s="28"/>
      <c r="AS41" s="28"/>
      <c r="AT41" s="28"/>
      <c r="AU41" s="28"/>
      <c r="AV41" s="28"/>
      <c r="AW41" s="27" t="e">
        <f t="shared" si="8"/>
        <v>#DIV/0!</v>
      </c>
      <c r="AX41" s="28"/>
      <c r="AY41" s="28"/>
      <c r="AZ41" s="28"/>
      <c r="BA41" s="28"/>
      <c r="BB41" s="28"/>
      <c r="BC41" s="26" t="e">
        <f t="shared" si="9"/>
        <v>#DIV/0!</v>
      </c>
      <c r="BD41" s="28"/>
      <c r="BE41" s="28"/>
      <c r="BF41" s="27" t="e">
        <f t="shared" si="10"/>
        <v>#DIV/0!</v>
      </c>
      <c r="BG41" s="28"/>
      <c r="BH41" s="28"/>
      <c r="BI41" s="26" t="e">
        <f t="shared" si="11"/>
        <v>#DIV/0!</v>
      </c>
      <c r="BJ41" s="28"/>
      <c r="BK41" s="28"/>
      <c r="BL41" s="27" t="e">
        <f t="shared" si="12"/>
        <v>#DIV/0!</v>
      </c>
      <c r="BM41" s="28"/>
      <c r="BN41" s="28"/>
      <c r="BO41" s="28"/>
      <c r="BP41" s="26" t="e">
        <f t="shared" si="13"/>
        <v>#DIV/0!</v>
      </c>
      <c r="BQ41" s="28"/>
      <c r="BR41" s="28"/>
      <c r="BS41" s="28"/>
      <c r="BT41" s="27" t="e">
        <f t="shared" si="14"/>
        <v>#DIV/0!</v>
      </c>
      <c r="BU41" s="28"/>
      <c r="BV41" s="26">
        <f t="shared" si="15"/>
        <v>0</v>
      </c>
      <c r="BW41" s="27"/>
      <c r="BX41" s="28"/>
      <c r="BY41" s="28"/>
      <c r="BZ41" s="27" t="e">
        <f t="shared" si="16"/>
        <v>#DIV/0!</v>
      </c>
      <c r="CA41" s="29" t="str">
        <f t="shared" si="0"/>
        <v/>
      </c>
    </row>
    <row r="42" spans="1:79" ht="14.5">
      <c r="A42" s="22">
        <v>34</v>
      </c>
      <c r="B42" s="23">
        <f>BIODATA!B57</f>
        <v>0</v>
      </c>
      <c r="C42" s="23">
        <f>BIODATA!C57</f>
        <v>0</v>
      </c>
      <c r="D42" s="24">
        <f>BIODATA!D57</f>
        <v>0</v>
      </c>
      <c r="E42" s="23" t="str">
        <f>BIODATA!H57</f>
        <v>L</v>
      </c>
      <c r="F42" s="22">
        <f>BIODATA!E57</f>
        <v>0</v>
      </c>
      <c r="G42" s="25"/>
      <c r="H42" s="25"/>
      <c r="I42" s="25"/>
      <c r="J42" s="25"/>
      <c r="K42" s="25"/>
      <c r="L42" s="26" t="e">
        <f t="shared" si="1"/>
        <v>#DIV/0!</v>
      </c>
      <c r="M42" s="25"/>
      <c r="N42" s="25"/>
      <c r="O42" s="25"/>
      <c r="P42" s="25"/>
      <c r="Q42" s="25"/>
      <c r="R42" s="27" t="e">
        <f t="shared" si="2"/>
        <v>#DIV/0!</v>
      </c>
      <c r="S42" s="25"/>
      <c r="T42" s="25"/>
      <c r="U42" s="25"/>
      <c r="V42" s="25"/>
      <c r="W42" s="25"/>
      <c r="X42" s="26" t="e">
        <f t="shared" si="3"/>
        <v>#DIV/0!</v>
      </c>
      <c r="Y42" s="25"/>
      <c r="Z42" s="25"/>
      <c r="AA42" s="25"/>
      <c r="AB42" s="25"/>
      <c r="AC42" s="27" t="e">
        <f t="shared" si="4"/>
        <v>#DIV/0!</v>
      </c>
      <c r="AD42" s="25"/>
      <c r="AE42" s="25"/>
      <c r="AF42" s="25"/>
      <c r="AG42" s="25"/>
      <c r="AH42" s="26" t="e">
        <f t="shared" si="5"/>
        <v>#DIV/0!</v>
      </c>
      <c r="AI42" s="25"/>
      <c r="AJ42" s="25"/>
      <c r="AK42" s="27" t="e">
        <f t="shared" si="6"/>
        <v>#DIV/0!</v>
      </c>
      <c r="AL42" s="28"/>
      <c r="AM42" s="28"/>
      <c r="AN42" s="28"/>
      <c r="AO42" s="28"/>
      <c r="AP42" s="28"/>
      <c r="AQ42" s="26" t="e">
        <f t="shared" si="7"/>
        <v>#DIV/0!</v>
      </c>
      <c r="AR42" s="28"/>
      <c r="AS42" s="28"/>
      <c r="AT42" s="28"/>
      <c r="AU42" s="28"/>
      <c r="AV42" s="28"/>
      <c r="AW42" s="27" t="e">
        <f t="shared" si="8"/>
        <v>#DIV/0!</v>
      </c>
      <c r="AX42" s="28"/>
      <c r="AY42" s="28"/>
      <c r="AZ42" s="28"/>
      <c r="BA42" s="28"/>
      <c r="BB42" s="28"/>
      <c r="BC42" s="26" t="e">
        <f t="shared" si="9"/>
        <v>#DIV/0!</v>
      </c>
      <c r="BD42" s="28"/>
      <c r="BE42" s="28"/>
      <c r="BF42" s="27" t="e">
        <f t="shared" si="10"/>
        <v>#DIV/0!</v>
      </c>
      <c r="BG42" s="28"/>
      <c r="BH42" s="28"/>
      <c r="BI42" s="26" t="e">
        <f t="shared" si="11"/>
        <v>#DIV/0!</v>
      </c>
      <c r="BJ42" s="28"/>
      <c r="BK42" s="28"/>
      <c r="BL42" s="27" t="e">
        <f t="shared" si="12"/>
        <v>#DIV/0!</v>
      </c>
      <c r="BM42" s="28"/>
      <c r="BN42" s="28"/>
      <c r="BO42" s="28"/>
      <c r="BP42" s="26" t="e">
        <f t="shared" si="13"/>
        <v>#DIV/0!</v>
      </c>
      <c r="BQ42" s="28"/>
      <c r="BR42" s="28"/>
      <c r="BS42" s="28"/>
      <c r="BT42" s="27" t="e">
        <f t="shared" si="14"/>
        <v>#DIV/0!</v>
      </c>
      <c r="BU42" s="28"/>
      <c r="BV42" s="26">
        <f t="shared" si="15"/>
        <v>0</v>
      </c>
      <c r="BW42" s="27"/>
      <c r="BX42" s="28"/>
      <c r="BY42" s="28"/>
      <c r="BZ42" s="27" t="e">
        <f t="shared" si="16"/>
        <v>#DIV/0!</v>
      </c>
      <c r="CA42" s="29" t="str">
        <f t="shared" si="0"/>
        <v/>
      </c>
    </row>
    <row r="43" spans="1:79" ht="14.5">
      <c r="A43" s="22">
        <v>35</v>
      </c>
      <c r="B43" s="23">
        <f>BIODATA!B58</f>
        <v>0</v>
      </c>
      <c r="C43" s="23">
        <f>BIODATA!C58</f>
        <v>0</v>
      </c>
      <c r="D43" s="24">
        <f>BIODATA!D58</f>
        <v>0</v>
      </c>
      <c r="E43" s="23" t="str">
        <f>BIODATA!H58</f>
        <v>L</v>
      </c>
      <c r="F43" s="22">
        <f>BIODATA!E58</f>
        <v>0</v>
      </c>
      <c r="G43" s="25"/>
      <c r="H43" s="25"/>
      <c r="I43" s="25"/>
      <c r="J43" s="25"/>
      <c r="K43" s="25"/>
      <c r="L43" s="26" t="e">
        <f t="shared" si="1"/>
        <v>#DIV/0!</v>
      </c>
      <c r="M43" s="25"/>
      <c r="N43" s="25"/>
      <c r="O43" s="25"/>
      <c r="P43" s="25"/>
      <c r="Q43" s="25"/>
      <c r="R43" s="27" t="e">
        <f t="shared" si="2"/>
        <v>#DIV/0!</v>
      </c>
      <c r="S43" s="25"/>
      <c r="T43" s="25"/>
      <c r="U43" s="25"/>
      <c r="V43" s="25"/>
      <c r="W43" s="25"/>
      <c r="X43" s="26" t="e">
        <f t="shared" si="3"/>
        <v>#DIV/0!</v>
      </c>
      <c r="Y43" s="25"/>
      <c r="Z43" s="25"/>
      <c r="AA43" s="25"/>
      <c r="AB43" s="25"/>
      <c r="AC43" s="27" t="e">
        <f t="shared" si="4"/>
        <v>#DIV/0!</v>
      </c>
      <c r="AD43" s="25"/>
      <c r="AE43" s="25"/>
      <c r="AF43" s="25"/>
      <c r="AG43" s="25"/>
      <c r="AH43" s="26" t="e">
        <f t="shared" si="5"/>
        <v>#DIV/0!</v>
      </c>
      <c r="AI43" s="25"/>
      <c r="AJ43" s="25"/>
      <c r="AK43" s="27" t="e">
        <f t="shared" si="6"/>
        <v>#DIV/0!</v>
      </c>
      <c r="AL43" s="28"/>
      <c r="AM43" s="28"/>
      <c r="AN43" s="28"/>
      <c r="AO43" s="28"/>
      <c r="AP43" s="28"/>
      <c r="AQ43" s="26" t="e">
        <f t="shared" si="7"/>
        <v>#DIV/0!</v>
      </c>
      <c r="AR43" s="28"/>
      <c r="AS43" s="28"/>
      <c r="AT43" s="28"/>
      <c r="AU43" s="28"/>
      <c r="AV43" s="28"/>
      <c r="AW43" s="27" t="e">
        <f t="shared" si="8"/>
        <v>#DIV/0!</v>
      </c>
      <c r="AX43" s="28"/>
      <c r="AY43" s="28"/>
      <c r="AZ43" s="28"/>
      <c r="BA43" s="28"/>
      <c r="BB43" s="28"/>
      <c r="BC43" s="26" t="e">
        <f t="shared" si="9"/>
        <v>#DIV/0!</v>
      </c>
      <c r="BD43" s="28"/>
      <c r="BE43" s="28"/>
      <c r="BF43" s="27" t="e">
        <f t="shared" si="10"/>
        <v>#DIV/0!</v>
      </c>
      <c r="BG43" s="28"/>
      <c r="BH43" s="28"/>
      <c r="BI43" s="26" t="e">
        <f t="shared" si="11"/>
        <v>#DIV/0!</v>
      </c>
      <c r="BJ43" s="28"/>
      <c r="BK43" s="28"/>
      <c r="BL43" s="27" t="e">
        <f t="shared" si="12"/>
        <v>#DIV/0!</v>
      </c>
      <c r="BM43" s="28"/>
      <c r="BN43" s="28"/>
      <c r="BO43" s="28"/>
      <c r="BP43" s="26" t="e">
        <f t="shared" si="13"/>
        <v>#DIV/0!</v>
      </c>
      <c r="BQ43" s="28"/>
      <c r="BR43" s="28"/>
      <c r="BS43" s="28"/>
      <c r="BT43" s="27" t="e">
        <f t="shared" si="14"/>
        <v>#DIV/0!</v>
      </c>
      <c r="BU43" s="28"/>
      <c r="BV43" s="26">
        <f t="shared" si="15"/>
        <v>0</v>
      </c>
      <c r="BW43" s="27"/>
      <c r="BX43" s="28"/>
      <c r="BY43" s="28"/>
      <c r="BZ43" s="27" t="e">
        <f t="shared" si="16"/>
        <v>#DIV/0!</v>
      </c>
      <c r="CA43" s="29" t="str">
        <f t="shared" si="0"/>
        <v/>
      </c>
    </row>
    <row r="44" spans="1:79" ht="14.5">
      <c r="A44" s="22">
        <v>36</v>
      </c>
      <c r="B44" s="23">
        <f>BIODATA!B59</f>
        <v>0</v>
      </c>
      <c r="C44" s="23">
        <f>BIODATA!C59</f>
        <v>0</v>
      </c>
      <c r="D44" s="24">
        <f>BIODATA!D59</f>
        <v>0</v>
      </c>
      <c r="E44" s="23" t="str">
        <f>BIODATA!H59</f>
        <v>L</v>
      </c>
      <c r="F44" s="22">
        <f>BIODATA!E59</f>
        <v>0</v>
      </c>
      <c r="G44" s="25"/>
      <c r="H44" s="25"/>
      <c r="I44" s="25"/>
      <c r="J44" s="25"/>
      <c r="K44" s="25"/>
      <c r="L44" s="26" t="e">
        <f t="shared" si="1"/>
        <v>#DIV/0!</v>
      </c>
      <c r="M44" s="25"/>
      <c r="N44" s="25"/>
      <c r="O44" s="25"/>
      <c r="P44" s="25"/>
      <c r="Q44" s="25"/>
      <c r="R44" s="27" t="e">
        <f t="shared" si="2"/>
        <v>#DIV/0!</v>
      </c>
      <c r="S44" s="25"/>
      <c r="T44" s="25"/>
      <c r="U44" s="25"/>
      <c r="V44" s="25"/>
      <c r="W44" s="25"/>
      <c r="X44" s="26" t="e">
        <f t="shared" si="3"/>
        <v>#DIV/0!</v>
      </c>
      <c r="Y44" s="25"/>
      <c r="Z44" s="25"/>
      <c r="AA44" s="25"/>
      <c r="AB44" s="25"/>
      <c r="AC44" s="27" t="e">
        <f t="shared" si="4"/>
        <v>#DIV/0!</v>
      </c>
      <c r="AD44" s="25"/>
      <c r="AE44" s="25"/>
      <c r="AF44" s="25"/>
      <c r="AG44" s="25"/>
      <c r="AH44" s="26" t="e">
        <f t="shared" si="5"/>
        <v>#DIV/0!</v>
      </c>
      <c r="AI44" s="25"/>
      <c r="AJ44" s="25"/>
      <c r="AK44" s="27" t="e">
        <f t="shared" si="6"/>
        <v>#DIV/0!</v>
      </c>
      <c r="AL44" s="28"/>
      <c r="AM44" s="28"/>
      <c r="AN44" s="28"/>
      <c r="AO44" s="28"/>
      <c r="AP44" s="28"/>
      <c r="AQ44" s="26" t="e">
        <f t="shared" si="7"/>
        <v>#DIV/0!</v>
      </c>
      <c r="AR44" s="28"/>
      <c r="AS44" s="28"/>
      <c r="AT44" s="28"/>
      <c r="AU44" s="28"/>
      <c r="AV44" s="28"/>
      <c r="AW44" s="27" t="e">
        <f t="shared" si="8"/>
        <v>#DIV/0!</v>
      </c>
      <c r="AX44" s="28"/>
      <c r="AY44" s="28"/>
      <c r="AZ44" s="28"/>
      <c r="BA44" s="28"/>
      <c r="BB44" s="28"/>
      <c r="BC44" s="26" t="e">
        <f t="shared" si="9"/>
        <v>#DIV/0!</v>
      </c>
      <c r="BD44" s="28"/>
      <c r="BE44" s="28"/>
      <c r="BF44" s="27" t="e">
        <f t="shared" si="10"/>
        <v>#DIV/0!</v>
      </c>
      <c r="BG44" s="28"/>
      <c r="BH44" s="28"/>
      <c r="BI44" s="26" t="e">
        <f t="shared" si="11"/>
        <v>#DIV/0!</v>
      </c>
      <c r="BJ44" s="28"/>
      <c r="BK44" s="28"/>
      <c r="BL44" s="27" t="e">
        <f t="shared" si="12"/>
        <v>#DIV/0!</v>
      </c>
      <c r="BM44" s="28"/>
      <c r="BN44" s="28"/>
      <c r="BO44" s="28"/>
      <c r="BP44" s="26" t="e">
        <f t="shared" si="13"/>
        <v>#DIV/0!</v>
      </c>
      <c r="BQ44" s="28"/>
      <c r="BR44" s="28"/>
      <c r="BS44" s="28"/>
      <c r="BT44" s="27" t="e">
        <f t="shared" si="14"/>
        <v>#DIV/0!</v>
      </c>
      <c r="BU44" s="28"/>
      <c r="BV44" s="26">
        <f t="shared" si="15"/>
        <v>0</v>
      </c>
      <c r="BW44" s="27"/>
      <c r="BX44" s="28"/>
      <c r="BY44" s="28"/>
      <c r="BZ44" s="27" t="e">
        <f t="shared" si="16"/>
        <v>#DIV/0!</v>
      </c>
      <c r="CA44" s="29" t="str">
        <f t="shared" si="0"/>
        <v/>
      </c>
    </row>
    <row r="45" spans="1:79" ht="14.5">
      <c r="A45" s="22">
        <v>37</v>
      </c>
      <c r="B45" s="23">
        <f>BIODATA!B60</f>
        <v>0</v>
      </c>
      <c r="C45" s="23">
        <f>BIODATA!C60</f>
        <v>0</v>
      </c>
      <c r="D45" s="24">
        <f>BIODATA!D60</f>
        <v>0</v>
      </c>
      <c r="E45" s="23" t="str">
        <f>BIODATA!H60</f>
        <v>L</v>
      </c>
      <c r="F45" s="22">
        <f>BIODATA!E60</f>
        <v>0</v>
      </c>
      <c r="G45" s="25"/>
      <c r="H45" s="25"/>
      <c r="I45" s="25"/>
      <c r="J45" s="25"/>
      <c r="K45" s="25"/>
      <c r="L45" s="26" t="e">
        <f t="shared" si="1"/>
        <v>#DIV/0!</v>
      </c>
      <c r="M45" s="25"/>
      <c r="N45" s="25"/>
      <c r="O45" s="25"/>
      <c r="P45" s="25"/>
      <c r="Q45" s="25"/>
      <c r="R45" s="27" t="e">
        <f t="shared" si="2"/>
        <v>#DIV/0!</v>
      </c>
      <c r="S45" s="25"/>
      <c r="T45" s="25"/>
      <c r="U45" s="25"/>
      <c r="V45" s="25"/>
      <c r="W45" s="25"/>
      <c r="X45" s="26" t="e">
        <f t="shared" si="3"/>
        <v>#DIV/0!</v>
      </c>
      <c r="Y45" s="25"/>
      <c r="Z45" s="25"/>
      <c r="AA45" s="25"/>
      <c r="AB45" s="25"/>
      <c r="AC45" s="27" t="e">
        <f t="shared" si="4"/>
        <v>#DIV/0!</v>
      </c>
      <c r="AD45" s="25"/>
      <c r="AE45" s="25"/>
      <c r="AF45" s="25"/>
      <c r="AG45" s="25"/>
      <c r="AH45" s="26" t="e">
        <f t="shared" si="5"/>
        <v>#DIV/0!</v>
      </c>
      <c r="AI45" s="25"/>
      <c r="AJ45" s="25"/>
      <c r="AK45" s="27" t="e">
        <f t="shared" si="6"/>
        <v>#DIV/0!</v>
      </c>
      <c r="AL45" s="28"/>
      <c r="AM45" s="28"/>
      <c r="AN45" s="28"/>
      <c r="AO45" s="28"/>
      <c r="AP45" s="28"/>
      <c r="AQ45" s="26" t="e">
        <f t="shared" si="7"/>
        <v>#DIV/0!</v>
      </c>
      <c r="AR45" s="28"/>
      <c r="AS45" s="28"/>
      <c r="AT45" s="28"/>
      <c r="AU45" s="28"/>
      <c r="AV45" s="28"/>
      <c r="AW45" s="27" t="e">
        <f t="shared" si="8"/>
        <v>#DIV/0!</v>
      </c>
      <c r="AX45" s="28"/>
      <c r="AY45" s="28"/>
      <c r="AZ45" s="28"/>
      <c r="BA45" s="28"/>
      <c r="BB45" s="28"/>
      <c r="BC45" s="26" t="e">
        <f t="shared" si="9"/>
        <v>#DIV/0!</v>
      </c>
      <c r="BD45" s="28"/>
      <c r="BE45" s="28"/>
      <c r="BF45" s="27" t="e">
        <f t="shared" si="10"/>
        <v>#DIV/0!</v>
      </c>
      <c r="BG45" s="28"/>
      <c r="BH45" s="28"/>
      <c r="BI45" s="26" t="e">
        <f t="shared" si="11"/>
        <v>#DIV/0!</v>
      </c>
      <c r="BJ45" s="28"/>
      <c r="BK45" s="28"/>
      <c r="BL45" s="27" t="e">
        <f t="shared" si="12"/>
        <v>#DIV/0!</v>
      </c>
      <c r="BM45" s="28"/>
      <c r="BN45" s="28"/>
      <c r="BO45" s="28"/>
      <c r="BP45" s="26" t="e">
        <f t="shared" si="13"/>
        <v>#DIV/0!</v>
      </c>
      <c r="BQ45" s="28"/>
      <c r="BR45" s="28"/>
      <c r="BS45" s="28"/>
      <c r="BT45" s="27" t="e">
        <f t="shared" si="14"/>
        <v>#DIV/0!</v>
      </c>
      <c r="BU45" s="28"/>
      <c r="BV45" s="26">
        <f t="shared" si="15"/>
        <v>0</v>
      </c>
      <c r="BW45" s="27"/>
      <c r="BX45" s="28"/>
      <c r="BY45" s="28"/>
      <c r="BZ45" s="27" t="e">
        <f t="shared" si="16"/>
        <v>#DIV/0!</v>
      </c>
      <c r="CA45" s="29" t="str">
        <f t="shared" si="0"/>
        <v/>
      </c>
    </row>
    <row r="46" spans="1:79" ht="14.5">
      <c r="A46" s="22">
        <v>38</v>
      </c>
      <c r="B46" s="23">
        <f>BIODATA!B61</f>
        <v>0</v>
      </c>
      <c r="C46" s="23">
        <f>BIODATA!C61</f>
        <v>0</v>
      </c>
      <c r="D46" s="24">
        <f>BIODATA!D61</f>
        <v>0</v>
      </c>
      <c r="E46" s="23" t="str">
        <f>BIODATA!H61</f>
        <v>L</v>
      </c>
      <c r="F46" s="22">
        <f>BIODATA!E61</f>
        <v>0</v>
      </c>
      <c r="G46" s="25"/>
      <c r="H46" s="25"/>
      <c r="I46" s="25"/>
      <c r="J46" s="25"/>
      <c r="K46" s="25"/>
      <c r="L46" s="26" t="e">
        <f t="shared" si="1"/>
        <v>#DIV/0!</v>
      </c>
      <c r="M46" s="25"/>
      <c r="N46" s="25"/>
      <c r="O46" s="25"/>
      <c r="P46" s="25"/>
      <c r="Q46" s="25"/>
      <c r="R46" s="27" t="e">
        <f t="shared" si="2"/>
        <v>#DIV/0!</v>
      </c>
      <c r="S46" s="25"/>
      <c r="T46" s="25"/>
      <c r="U46" s="25"/>
      <c r="V46" s="25"/>
      <c r="W46" s="25"/>
      <c r="X46" s="26" t="e">
        <f t="shared" si="3"/>
        <v>#DIV/0!</v>
      </c>
      <c r="Y46" s="25"/>
      <c r="Z46" s="25"/>
      <c r="AA46" s="25"/>
      <c r="AB46" s="25"/>
      <c r="AC46" s="27" t="e">
        <f t="shared" si="4"/>
        <v>#DIV/0!</v>
      </c>
      <c r="AD46" s="25"/>
      <c r="AE46" s="25"/>
      <c r="AF46" s="25"/>
      <c r="AG46" s="25"/>
      <c r="AH46" s="26" t="e">
        <f t="shared" si="5"/>
        <v>#DIV/0!</v>
      </c>
      <c r="AI46" s="25"/>
      <c r="AJ46" s="25"/>
      <c r="AK46" s="27" t="e">
        <f t="shared" si="6"/>
        <v>#DIV/0!</v>
      </c>
      <c r="AL46" s="28"/>
      <c r="AM46" s="28"/>
      <c r="AN46" s="28"/>
      <c r="AO46" s="28"/>
      <c r="AP46" s="28"/>
      <c r="AQ46" s="26" t="e">
        <f t="shared" si="7"/>
        <v>#DIV/0!</v>
      </c>
      <c r="AR46" s="28"/>
      <c r="AS46" s="28"/>
      <c r="AT46" s="28"/>
      <c r="AU46" s="28"/>
      <c r="AV46" s="28"/>
      <c r="AW46" s="27" t="e">
        <f t="shared" si="8"/>
        <v>#DIV/0!</v>
      </c>
      <c r="AX46" s="28"/>
      <c r="AY46" s="28"/>
      <c r="AZ46" s="28"/>
      <c r="BA46" s="28"/>
      <c r="BB46" s="28"/>
      <c r="BC46" s="26" t="e">
        <f t="shared" si="9"/>
        <v>#DIV/0!</v>
      </c>
      <c r="BD46" s="28"/>
      <c r="BE46" s="28"/>
      <c r="BF46" s="27" t="e">
        <f t="shared" si="10"/>
        <v>#DIV/0!</v>
      </c>
      <c r="BG46" s="28"/>
      <c r="BH46" s="28"/>
      <c r="BI46" s="26" t="e">
        <f t="shared" si="11"/>
        <v>#DIV/0!</v>
      </c>
      <c r="BJ46" s="28"/>
      <c r="BK46" s="28"/>
      <c r="BL46" s="27" t="e">
        <f t="shared" si="12"/>
        <v>#DIV/0!</v>
      </c>
      <c r="BM46" s="28"/>
      <c r="BN46" s="28"/>
      <c r="BO46" s="28"/>
      <c r="BP46" s="26" t="e">
        <f t="shared" si="13"/>
        <v>#DIV/0!</v>
      </c>
      <c r="BQ46" s="28"/>
      <c r="BR46" s="28"/>
      <c r="BS46" s="28"/>
      <c r="BT46" s="27" t="e">
        <f t="shared" si="14"/>
        <v>#DIV/0!</v>
      </c>
      <c r="BU46" s="28"/>
      <c r="BV46" s="26">
        <f t="shared" si="15"/>
        <v>0</v>
      </c>
      <c r="BW46" s="27"/>
      <c r="BX46" s="28"/>
      <c r="BY46" s="28"/>
      <c r="BZ46" s="27" t="e">
        <f t="shared" si="16"/>
        <v>#DIV/0!</v>
      </c>
      <c r="CA46" s="29" t="str">
        <f t="shared" si="0"/>
        <v/>
      </c>
    </row>
    <row r="47" spans="1:79" ht="14.5">
      <c r="A47" s="22">
        <v>39</v>
      </c>
      <c r="B47" s="23">
        <f>BIODATA!B62</f>
        <v>0</v>
      </c>
      <c r="C47" s="23">
        <f>BIODATA!C62</f>
        <v>0</v>
      </c>
      <c r="D47" s="24">
        <f>BIODATA!D62</f>
        <v>0</v>
      </c>
      <c r="E47" s="23" t="str">
        <f>BIODATA!H62</f>
        <v>L</v>
      </c>
      <c r="F47" s="22">
        <f>BIODATA!E62</f>
        <v>0</v>
      </c>
      <c r="G47" s="25"/>
      <c r="H47" s="25"/>
      <c r="I47" s="25"/>
      <c r="J47" s="25"/>
      <c r="K47" s="25"/>
      <c r="L47" s="26" t="e">
        <f t="shared" si="1"/>
        <v>#DIV/0!</v>
      </c>
      <c r="M47" s="25"/>
      <c r="N47" s="25"/>
      <c r="O47" s="25"/>
      <c r="P47" s="25"/>
      <c r="Q47" s="25"/>
      <c r="R47" s="27" t="e">
        <f t="shared" si="2"/>
        <v>#DIV/0!</v>
      </c>
      <c r="S47" s="25"/>
      <c r="T47" s="25"/>
      <c r="U47" s="25"/>
      <c r="V47" s="25"/>
      <c r="W47" s="25"/>
      <c r="X47" s="26" t="e">
        <f t="shared" si="3"/>
        <v>#DIV/0!</v>
      </c>
      <c r="Y47" s="25"/>
      <c r="Z47" s="25"/>
      <c r="AA47" s="25"/>
      <c r="AB47" s="25"/>
      <c r="AC47" s="27" t="e">
        <f t="shared" si="4"/>
        <v>#DIV/0!</v>
      </c>
      <c r="AD47" s="25"/>
      <c r="AE47" s="25"/>
      <c r="AF47" s="25"/>
      <c r="AG47" s="25"/>
      <c r="AH47" s="26" t="e">
        <f t="shared" si="5"/>
        <v>#DIV/0!</v>
      </c>
      <c r="AI47" s="25"/>
      <c r="AJ47" s="25"/>
      <c r="AK47" s="27" t="e">
        <f t="shared" si="6"/>
        <v>#DIV/0!</v>
      </c>
      <c r="AL47" s="28"/>
      <c r="AM47" s="28"/>
      <c r="AN47" s="28"/>
      <c r="AO47" s="28"/>
      <c r="AP47" s="28"/>
      <c r="AQ47" s="26" t="e">
        <f t="shared" si="7"/>
        <v>#DIV/0!</v>
      </c>
      <c r="AR47" s="28"/>
      <c r="AS47" s="28"/>
      <c r="AT47" s="28"/>
      <c r="AU47" s="28"/>
      <c r="AV47" s="28"/>
      <c r="AW47" s="27" t="e">
        <f t="shared" si="8"/>
        <v>#DIV/0!</v>
      </c>
      <c r="AX47" s="28"/>
      <c r="AY47" s="28"/>
      <c r="AZ47" s="28"/>
      <c r="BA47" s="28"/>
      <c r="BB47" s="28"/>
      <c r="BC47" s="26" t="e">
        <f t="shared" si="9"/>
        <v>#DIV/0!</v>
      </c>
      <c r="BD47" s="28"/>
      <c r="BE47" s="28"/>
      <c r="BF47" s="27" t="e">
        <f t="shared" si="10"/>
        <v>#DIV/0!</v>
      </c>
      <c r="BG47" s="28"/>
      <c r="BH47" s="28"/>
      <c r="BI47" s="26" t="e">
        <f t="shared" si="11"/>
        <v>#DIV/0!</v>
      </c>
      <c r="BJ47" s="28"/>
      <c r="BK47" s="28"/>
      <c r="BL47" s="27" t="e">
        <f t="shared" si="12"/>
        <v>#DIV/0!</v>
      </c>
      <c r="BM47" s="28"/>
      <c r="BN47" s="28"/>
      <c r="BO47" s="28"/>
      <c r="BP47" s="26" t="e">
        <f t="shared" si="13"/>
        <v>#DIV/0!</v>
      </c>
      <c r="BQ47" s="28"/>
      <c r="BR47" s="28"/>
      <c r="BS47" s="28"/>
      <c r="BT47" s="27" t="e">
        <f t="shared" si="14"/>
        <v>#DIV/0!</v>
      </c>
      <c r="BU47" s="28"/>
      <c r="BV47" s="26">
        <f t="shared" si="15"/>
        <v>0</v>
      </c>
      <c r="BW47" s="27"/>
      <c r="BX47" s="28"/>
      <c r="BY47" s="28"/>
      <c r="BZ47" s="27" t="e">
        <f t="shared" si="16"/>
        <v>#DIV/0!</v>
      </c>
      <c r="CA47" s="29" t="str">
        <f t="shared" si="0"/>
        <v/>
      </c>
    </row>
    <row r="48" spans="1:79" ht="14.5">
      <c r="A48" s="22">
        <v>40</v>
      </c>
      <c r="B48" s="23">
        <f>BIODATA!B63</f>
        <v>0</v>
      </c>
      <c r="C48" s="23">
        <f>BIODATA!C63</f>
        <v>0</v>
      </c>
      <c r="D48" s="24">
        <f>BIODATA!D63</f>
        <v>0</v>
      </c>
      <c r="E48" s="23" t="str">
        <f>BIODATA!H63</f>
        <v>L</v>
      </c>
      <c r="F48" s="22">
        <f>BIODATA!E63</f>
        <v>0</v>
      </c>
      <c r="G48" s="25"/>
      <c r="H48" s="25"/>
      <c r="I48" s="25"/>
      <c r="J48" s="25"/>
      <c r="K48" s="25"/>
      <c r="L48" s="26" t="e">
        <f t="shared" si="1"/>
        <v>#DIV/0!</v>
      </c>
      <c r="M48" s="25"/>
      <c r="N48" s="25"/>
      <c r="O48" s="25"/>
      <c r="P48" s="25"/>
      <c r="Q48" s="25"/>
      <c r="R48" s="27" t="e">
        <f t="shared" si="2"/>
        <v>#DIV/0!</v>
      </c>
      <c r="S48" s="25"/>
      <c r="T48" s="25"/>
      <c r="U48" s="25"/>
      <c r="V48" s="25"/>
      <c r="W48" s="25"/>
      <c r="X48" s="26" t="e">
        <f t="shared" si="3"/>
        <v>#DIV/0!</v>
      </c>
      <c r="Y48" s="25"/>
      <c r="Z48" s="25"/>
      <c r="AA48" s="25"/>
      <c r="AB48" s="25"/>
      <c r="AC48" s="27" t="e">
        <f t="shared" si="4"/>
        <v>#DIV/0!</v>
      </c>
      <c r="AD48" s="25"/>
      <c r="AE48" s="25"/>
      <c r="AF48" s="25"/>
      <c r="AG48" s="25"/>
      <c r="AH48" s="26" t="e">
        <f t="shared" si="5"/>
        <v>#DIV/0!</v>
      </c>
      <c r="AI48" s="25"/>
      <c r="AJ48" s="25"/>
      <c r="AK48" s="27" t="e">
        <f t="shared" si="6"/>
        <v>#DIV/0!</v>
      </c>
      <c r="AL48" s="28"/>
      <c r="AM48" s="28"/>
      <c r="AN48" s="28"/>
      <c r="AO48" s="28"/>
      <c r="AP48" s="28"/>
      <c r="AQ48" s="26" t="e">
        <f t="shared" si="7"/>
        <v>#DIV/0!</v>
      </c>
      <c r="AR48" s="28"/>
      <c r="AS48" s="28"/>
      <c r="AT48" s="28"/>
      <c r="AU48" s="28"/>
      <c r="AV48" s="28"/>
      <c r="AW48" s="27" t="e">
        <f t="shared" si="8"/>
        <v>#DIV/0!</v>
      </c>
      <c r="AX48" s="28"/>
      <c r="AY48" s="28"/>
      <c r="AZ48" s="28"/>
      <c r="BA48" s="28"/>
      <c r="BB48" s="28"/>
      <c r="BC48" s="26" t="e">
        <f t="shared" si="9"/>
        <v>#DIV/0!</v>
      </c>
      <c r="BD48" s="28"/>
      <c r="BE48" s="28"/>
      <c r="BF48" s="27" t="e">
        <f t="shared" si="10"/>
        <v>#DIV/0!</v>
      </c>
      <c r="BG48" s="28"/>
      <c r="BH48" s="28"/>
      <c r="BI48" s="26" t="e">
        <f t="shared" si="11"/>
        <v>#DIV/0!</v>
      </c>
      <c r="BJ48" s="28"/>
      <c r="BK48" s="28"/>
      <c r="BL48" s="27" t="e">
        <f t="shared" si="12"/>
        <v>#DIV/0!</v>
      </c>
      <c r="BM48" s="28"/>
      <c r="BN48" s="28"/>
      <c r="BO48" s="28"/>
      <c r="BP48" s="26" t="e">
        <f t="shared" si="13"/>
        <v>#DIV/0!</v>
      </c>
      <c r="BQ48" s="28"/>
      <c r="BR48" s="28"/>
      <c r="BS48" s="28"/>
      <c r="BT48" s="27" t="e">
        <f t="shared" si="14"/>
        <v>#DIV/0!</v>
      </c>
      <c r="BU48" s="28"/>
      <c r="BV48" s="26">
        <f t="shared" si="15"/>
        <v>0</v>
      </c>
      <c r="BW48" s="27"/>
      <c r="BX48" s="28"/>
      <c r="BY48" s="28"/>
      <c r="BZ48" s="27" t="e">
        <f t="shared" si="16"/>
        <v>#DIV/0!</v>
      </c>
      <c r="CA48" s="29" t="str">
        <f t="shared" si="0"/>
        <v/>
      </c>
    </row>
    <row r="49" spans="1:79" ht="18.5">
      <c r="A49" s="165" t="s">
        <v>66</v>
      </c>
      <c r="B49" s="150"/>
      <c r="C49" s="150"/>
      <c r="D49" s="150"/>
      <c r="E49" s="150"/>
      <c r="F49" s="150"/>
      <c r="G49" s="30">
        <f t="shared" ref="G49:AL49" si="17">AVERAGE(G9:G48)</f>
        <v>84.645161290322577</v>
      </c>
      <c r="H49" s="30" t="e">
        <f t="shared" si="17"/>
        <v>#DIV/0!</v>
      </c>
      <c r="I49" s="30" t="e">
        <f t="shared" si="17"/>
        <v>#DIV/0!</v>
      </c>
      <c r="J49" s="30" t="e">
        <f t="shared" si="17"/>
        <v>#DIV/0!</v>
      </c>
      <c r="K49" s="30" t="e">
        <f t="shared" si="17"/>
        <v>#DIV/0!</v>
      </c>
      <c r="L49" s="30" t="e">
        <f t="shared" si="17"/>
        <v>#DIV/0!</v>
      </c>
      <c r="M49" s="30">
        <f t="shared" si="17"/>
        <v>84.71875</v>
      </c>
      <c r="N49" s="30" t="e">
        <f t="shared" si="17"/>
        <v>#DIV/0!</v>
      </c>
      <c r="O49" s="30" t="e">
        <f t="shared" si="17"/>
        <v>#DIV/0!</v>
      </c>
      <c r="P49" s="30" t="e">
        <f t="shared" si="17"/>
        <v>#DIV/0!</v>
      </c>
      <c r="Q49" s="30" t="e">
        <f t="shared" si="17"/>
        <v>#DIV/0!</v>
      </c>
      <c r="R49" s="30" t="e">
        <f t="shared" si="17"/>
        <v>#DIV/0!</v>
      </c>
      <c r="S49" s="30">
        <f t="shared" si="17"/>
        <v>80.875</v>
      </c>
      <c r="T49" s="30" t="e">
        <f t="shared" si="17"/>
        <v>#DIV/0!</v>
      </c>
      <c r="U49" s="30" t="e">
        <f t="shared" si="17"/>
        <v>#DIV/0!</v>
      </c>
      <c r="V49" s="30" t="e">
        <f t="shared" si="17"/>
        <v>#DIV/0!</v>
      </c>
      <c r="W49" s="30" t="e">
        <f t="shared" si="17"/>
        <v>#DIV/0!</v>
      </c>
      <c r="X49" s="30" t="e">
        <f t="shared" si="17"/>
        <v>#DIV/0!</v>
      </c>
      <c r="Y49" s="30">
        <f t="shared" si="17"/>
        <v>86.28125</v>
      </c>
      <c r="Z49" s="30" t="e">
        <f t="shared" si="17"/>
        <v>#DIV/0!</v>
      </c>
      <c r="AA49" s="30" t="e">
        <f t="shared" si="17"/>
        <v>#DIV/0!</v>
      </c>
      <c r="AB49" s="30" t="e">
        <f t="shared" si="17"/>
        <v>#DIV/0!</v>
      </c>
      <c r="AC49" s="30" t="e">
        <f t="shared" si="17"/>
        <v>#DIV/0!</v>
      </c>
      <c r="AD49" s="30">
        <f t="shared" si="17"/>
        <v>86.612903225806448</v>
      </c>
      <c r="AE49" s="30" t="e">
        <f t="shared" si="17"/>
        <v>#DIV/0!</v>
      </c>
      <c r="AF49" s="30" t="e">
        <f t="shared" si="17"/>
        <v>#DIV/0!</v>
      </c>
      <c r="AG49" s="30" t="e">
        <f t="shared" si="17"/>
        <v>#DIV/0!</v>
      </c>
      <c r="AH49" s="30" t="e">
        <f t="shared" si="17"/>
        <v>#DIV/0!</v>
      </c>
      <c r="AI49" s="30">
        <f t="shared" si="17"/>
        <v>83.96875</v>
      </c>
      <c r="AJ49" s="30" t="e">
        <f t="shared" si="17"/>
        <v>#DIV/0!</v>
      </c>
      <c r="AK49" s="30" t="e">
        <f t="shared" si="17"/>
        <v>#DIV/0!</v>
      </c>
      <c r="AL49" s="30">
        <f t="shared" si="17"/>
        <v>84.645161290322577</v>
      </c>
      <c r="AM49" s="30" t="e">
        <f t="shared" ref="AM49:BR49" si="18">AVERAGE(AM9:AM48)</f>
        <v>#DIV/0!</v>
      </c>
      <c r="AN49" s="30" t="e">
        <f t="shared" si="18"/>
        <v>#DIV/0!</v>
      </c>
      <c r="AO49" s="30" t="e">
        <f t="shared" si="18"/>
        <v>#DIV/0!</v>
      </c>
      <c r="AP49" s="30" t="e">
        <f t="shared" si="18"/>
        <v>#DIV/0!</v>
      </c>
      <c r="AQ49" s="30" t="e">
        <f t="shared" si="18"/>
        <v>#DIV/0!</v>
      </c>
      <c r="AR49" s="30">
        <f t="shared" si="18"/>
        <v>76.09375</v>
      </c>
      <c r="AS49" s="30" t="e">
        <f t="shared" si="18"/>
        <v>#DIV/0!</v>
      </c>
      <c r="AT49" s="30" t="e">
        <f t="shared" si="18"/>
        <v>#DIV/0!</v>
      </c>
      <c r="AU49" s="30" t="e">
        <f t="shared" si="18"/>
        <v>#DIV/0!</v>
      </c>
      <c r="AV49" s="30" t="e">
        <f t="shared" si="18"/>
        <v>#DIV/0!</v>
      </c>
      <c r="AW49" s="30" t="e">
        <f t="shared" si="18"/>
        <v>#DIV/0!</v>
      </c>
      <c r="AX49" s="30">
        <f t="shared" si="18"/>
        <v>81.375</v>
      </c>
      <c r="AY49" s="30" t="e">
        <f t="shared" si="18"/>
        <v>#DIV/0!</v>
      </c>
      <c r="AZ49" s="30" t="e">
        <f t="shared" si="18"/>
        <v>#DIV/0!</v>
      </c>
      <c r="BA49" s="30" t="e">
        <f t="shared" si="18"/>
        <v>#DIV/0!</v>
      </c>
      <c r="BB49" s="30" t="e">
        <f t="shared" si="18"/>
        <v>#DIV/0!</v>
      </c>
      <c r="BC49" s="30" t="e">
        <f t="shared" si="18"/>
        <v>#DIV/0!</v>
      </c>
      <c r="BD49" s="30">
        <f t="shared" si="18"/>
        <v>82.395833333333343</v>
      </c>
      <c r="BE49" s="30" t="e">
        <f t="shared" si="18"/>
        <v>#DIV/0!</v>
      </c>
      <c r="BF49" s="30" t="e">
        <f t="shared" si="18"/>
        <v>#DIV/0!</v>
      </c>
      <c r="BG49" s="30">
        <f t="shared" si="18"/>
        <v>81.21875</v>
      </c>
      <c r="BH49" s="30" t="e">
        <f t="shared" si="18"/>
        <v>#DIV/0!</v>
      </c>
      <c r="BI49" s="30" t="e">
        <f t="shared" si="18"/>
        <v>#DIV/0!</v>
      </c>
      <c r="BJ49" s="30">
        <f t="shared" si="18"/>
        <v>82.395833333333343</v>
      </c>
      <c r="BK49" s="30" t="e">
        <f t="shared" si="18"/>
        <v>#DIV/0!</v>
      </c>
      <c r="BL49" s="30" t="e">
        <f t="shared" si="18"/>
        <v>#DIV/0!</v>
      </c>
      <c r="BM49" s="30" t="e">
        <f t="shared" si="18"/>
        <v>#DIV/0!</v>
      </c>
      <c r="BN49" s="30" t="e">
        <f t="shared" si="18"/>
        <v>#DIV/0!</v>
      </c>
      <c r="BO49" s="30" t="e">
        <f t="shared" si="18"/>
        <v>#DIV/0!</v>
      </c>
      <c r="BP49" s="30" t="e">
        <f t="shared" si="18"/>
        <v>#DIV/0!</v>
      </c>
      <c r="BQ49" s="30" t="e">
        <f t="shared" si="18"/>
        <v>#DIV/0!</v>
      </c>
      <c r="BR49" s="30" t="e">
        <f t="shared" si="18"/>
        <v>#DIV/0!</v>
      </c>
      <c r="BS49" s="30" t="e">
        <f t="shared" ref="BS49:CX49" si="19">AVERAGE(BS9:BS48)</f>
        <v>#DIV/0!</v>
      </c>
      <c r="BT49" s="30" t="e">
        <f t="shared" si="19"/>
        <v>#DIV/0!</v>
      </c>
      <c r="BU49" s="30" t="e">
        <f t="shared" si="19"/>
        <v>#DIV/0!</v>
      </c>
      <c r="BV49" s="30">
        <f t="shared" si="19"/>
        <v>0</v>
      </c>
      <c r="BW49" s="30" t="e">
        <f t="shared" si="19"/>
        <v>#DIV/0!</v>
      </c>
      <c r="BX49" s="30" t="e">
        <f t="shared" si="19"/>
        <v>#DIV/0!</v>
      </c>
      <c r="BY49" s="30" t="e">
        <f t="shared" si="19"/>
        <v>#DIV/0!</v>
      </c>
      <c r="BZ49" s="30" t="e">
        <f t="shared" si="19"/>
        <v>#DIV/0!</v>
      </c>
      <c r="CA49" s="30" t="e">
        <f t="shared" si="19"/>
        <v>#DIV/0!</v>
      </c>
    </row>
    <row r="50" spans="1:79" ht="18.5">
      <c r="A50" s="165" t="s">
        <v>67</v>
      </c>
      <c r="B50" s="150"/>
      <c r="C50" s="150"/>
      <c r="D50" s="150"/>
      <c r="E50" s="150"/>
      <c r="F50" s="150"/>
      <c r="G50" s="30">
        <f t="shared" ref="G50:AL50" si="20">MAX(G9:G48)</f>
        <v>90</v>
      </c>
      <c r="H50" s="30">
        <f t="shared" si="20"/>
        <v>0</v>
      </c>
      <c r="I50" s="30">
        <f t="shared" si="20"/>
        <v>0</v>
      </c>
      <c r="J50" s="30">
        <f t="shared" si="20"/>
        <v>0</v>
      </c>
      <c r="K50" s="30">
        <f t="shared" si="20"/>
        <v>0</v>
      </c>
      <c r="L50" s="30" t="e">
        <f t="shared" si="20"/>
        <v>#DIV/0!</v>
      </c>
      <c r="M50" s="30">
        <f t="shared" si="20"/>
        <v>99</v>
      </c>
      <c r="N50" s="30">
        <f t="shared" si="20"/>
        <v>0</v>
      </c>
      <c r="O50" s="30">
        <f t="shared" si="20"/>
        <v>0</v>
      </c>
      <c r="P50" s="30">
        <f t="shared" si="20"/>
        <v>0</v>
      </c>
      <c r="Q50" s="30">
        <f t="shared" si="20"/>
        <v>0</v>
      </c>
      <c r="R50" s="30" t="e">
        <f t="shared" si="20"/>
        <v>#DIV/0!</v>
      </c>
      <c r="S50" s="30">
        <f t="shared" si="20"/>
        <v>82</v>
      </c>
      <c r="T50" s="30">
        <f t="shared" si="20"/>
        <v>0</v>
      </c>
      <c r="U50" s="30">
        <f t="shared" si="20"/>
        <v>0</v>
      </c>
      <c r="V50" s="30">
        <f t="shared" si="20"/>
        <v>0</v>
      </c>
      <c r="W50" s="30">
        <f t="shared" si="20"/>
        <v>0</v>
      </c>
      <c r="X50" s="30" t="e">
        <f t="shared" si="20"/>
        <v>#DIV/0!</v>
      </c>
      <c r="Y50" s="30">
        <f t="shared" si="20"/>
        <v>89</v>
      </c>
      <c r="Z50" s="30">
        <f t="shared" si="20"/>
        <v>0</v>
      </c>
      <c r="AA50" s="30">
        <f t="shared" si="20"/>
        <v>0</v>
      </c>
      <c r="AB50" s="30">
        <f t="shared" si="20"/>
        <v>0</v>
      </c>
      <c r="AC50" s="30" t="e">
        <f t="shared" si="20"/>
        <v>#DIV/0!</v>
      </c>
      <c r="AD50" s="30">
        <f t="shared" si="20"/>
        <v>92</v>
      </c>
      <c r="AE50" s="30">
        <f t="shared" si="20"/>
        <v>0</v>
      </c>
      <c r="AF50" s="30">
        <f t="shared" si="20"/>
        <v>0</v>
      </c>
      <c r="AG50" s="30">
        <f t="shared" si="20"/>
        <v>0</v>
      </c>
      <c r="AH50" s="30" t="e">
        <f t="shared" si="20"/>
        <v>#DIV/0!</v>
      </c>
      <c r="AI50" s="30">
        <f t="shared" si="20"/>
        <v>95</v>
      </c>
      <c r="AJ50" s="30">
        <f t="shared" si="20"/>
        <v>0</v>
      </c>
      <c r="AK50" s="30" t="e">
        <f t="shared" si="20"/>
        <v>#DIV/0!</v>
      </c>
      <c r="AL50" s="30">
        <f t="shared" si="20"/>
        <v>90</v>
      </c>
      <c r="AM50" s="30">
        <f t="shared" ref="AM50:BR50" si="21">MAX(AM9:AM48)</f>
        <v>0</v>
      </c>
      <c r="AN50" s="30">
        <f t="shared" si="21"/>
        <v>0</v>
      </c>
      <c r="AO50" s="30">
        <f t="shared" si="21"/>
        <v>0</v>
      </c>
      <c r="AP50" s="30">
        <f t="shared" si="21"/>
        <v>0</v>
      </c>
      <c r="AQ50" s="30" t="e">
        <f t="shared" si="21"/>
        <v>#DIV/0!</v>
      </c>
      <c r="AR50" s="30">
        <f t="shared" si="21"/>
        <v>81</v>
      </c>
      <c r="AS50" s="30">
        <f t="shared" si="21"/>
        <v>0</v>
      </c>
      <c r="AT50" s="30">
        <f t="shared" si="21"/>
        <v>0</v>
      </c>
      <c r="AU50" s="30">
        <f t="shared" si="21"/>
        <v>0</v>
      </c>
      <c r="AV50" s="30">
        <f t="shared" si="21"/>
        <v>0</v>
      </c>
      <c r="AW50" s="30" t="e">
        <f t="shared" si="21"/>
        <v>#DIV/0!</v>
      </c>
      <c r="AX50" s="30">
        <f t="shared" si="21"/>
        <v>89</v>
      </c>
      <c r="AY50" s="30">
        <f t="shared" si="21"/>
        <v>0</v>
      </c>
      <c r="AZ50" s="30">
        <f t="shared" si="21"/>
        <v>0</v>
      </c>
      <c r="BA50" s="30">
        <f t="shared" si="21"/>
        <v>0</v>
      </c>
      <c r="BB50" s="30">
        <f t="shared" si="21"/>
        <v>0</v>
      </c>
      <c r="BC50" s="30" t="e">
        <f t="shared" si="21"/>
        <v>#DIV/0!</v>
      </c>
      <c r="BD50" s="30">
        <f t="shared" si="21"/>
        <v>93.333333333333329</v>
      </c>
      <c r="BE50" s="30">
        <f t="shared" si="21"/>
        <v>0</v>
      </c>
      <c r="BF50" s="30" t="e">
        <f t="shared" si="21"/>
        <v>#DIV/0!</v>
      </c>
      <c r="BG50" s="30">
        <f t="shared" si="21"/>
        <v>82</v>
      </c>
      <c r="BH50" s="30">
        <f t="shared" si="21"/>
        <v>0</v>
      </c>
      <c r="BI50" s="30" t="e">
        <f t="shared" si="21"/>
        <v>#DIV/0!</v>
      </c>
      <c r="BJ50" s="30">
        <f t="shared" si="21"/>
        <v>93.333333333333329</v>
      </c>
      <c r="BK50" s="30">
        <f t="shared" si="21"/>
        <v>0</v>
      </c>
      <c r="BL50" s="30" t="e">
        <f t="shared" si="21"/>
        <v>#DIV/0!</v>
      </c>
      <c r="BM50" s="30">
        <f t="shared" si="21"/>
        <v>0</v>
      </c>
      <c r="BN50" s="30">
        <f t="shared" si="21"/>
        <v>0</v>
      </c>
      <c r="BO50" s="30">
        <f t="shared" si="21"/>
        <v>0</v>
      </c>
      <c r="BP50" s="30" t="e">
        <f t="shared" si="21"/>
        <v>#DIV/0!</v>
      </c>
      <c r="BQ50" s="30">
        <f t="shared" si="21"/>
        <v>0</v>
      </c>
      <c r="BR50" s="30">
        <f t="shared" si="21"/>
        <v>0</v>
      </c>
      <c r="BS50" s="30">
        <f t="shared" ref="BS50:CA50" si="22">MAX(BS9:BS48)</f>
        <v>0</v>
      </c>
      <c r="BT50" s="30" t="e">
        <f t="shared" si="22"/>
        <v>#DIV/0!</v>
      </c>
      <c r="BU50" s="30">
        <f t="shared" si="22"/>
        <v>0</v>
      </c>
      <c r="BV50" s="30">
        <f t="shared" si="22"/>
        <v>0</v>
      </c>
      <c r="BW50" s="30">
        <f t="shared" si="22"/>
        <v>0</v>
      </c>
      <c r="BX50" s="30">
        <f t="shared" si="22"/>
        <v>0</v>
      </c>
      <c r="BY50" s="30">
        <f t="shared" si="22"/>
        <v>0</v>
      </c>
      <c r="BZ50" s="30" t="e">
        <f t="shared" si="22"/>
        <v>#DIV/0!</v>
      </c>
      <c r="CA50" s="30">
        <f t="shared" si="22"/>
        <v>0</v>
      </c>
    </row>
    <row r="51" spans="1:79" ht="18.5">
      <c r="A51" s="165" t="s">
        <v>68</v>
      </c>
      <c r="B51" s="150"/>
      <c r="C51" s="150"/>
      <c r="D51" s="150"/>
      <c r="E51" s="150"/>
      <c r="F51" s="150"/>
      <c r="G51" s="30">
        <f t="shared" ref="G51:AL51" si="23">MIN(G9:G48)</f>
        <v>78</v>
      </c>
      <c r="H51" s="30">
        <f t="shared" si="23"/>
        <v>0</v>
      </c>
      <c r="I51" s="30">
        <f t="shared" si="23"/>
        <v>0</v>
      </c>
      <c r="J51" s="30">
        <f t="shared" si="23"/>
        <v>0</v>
      </c>
      <c r="K51" s="30">
        <f t="shared" si="23"/>
        <v>0</v>
      </c>
      <c r="L51" s="30" t="e">
        <f t="shared" si="23"/>
        <v>#DIV/0!</v>
      </c>
      <c r="M51" s="30">
        <f t="shared" si="23"/>
        <v>78</v>
      </c>
      <c r="N51" s="30">
        <f t="shared" si="23"/>
        <v>0</v>
      </c>
      <c r="O51" s="30">
        <f t="shared" si="23"/>
        <v>0</v>
      </c>
      <c r="P51" s="30">
        <f t="shared" si="23"/>
        <v>0</v>
      </c>
      <c r="Q51" s="30">
        <f t="shared" si="23"/>
        <v>0</v>
      </c>
      <c r="R51" s="30" t="e">
        <f t="shared" si="23"/>
        <v>#DIV/0!</v>
      </c>
      <c r="S51" s="30">
        <f t="shared" si="23"/>
        <v>80</v>
      </c>
      <c r="T51" s="30">
        <f t="shared" si="23"/>
        <v>0</v>
      </c>
      <c r="U51" s="30">
        <f t="shared" si="23"/>
        <v>0</v>
      </c>
      <c r="V51" s="30">
        <f t="shared" si="23"/>
        <v>0</v>
      </c>
      <c r="W51" s="30">
        <f t="shared" si="23"/>
        <v>0</v>
      </c>
      <c r="X51" s="30" t="e">
        <f t="shared" si="23"/>
        <v>#DIV/0!</v>
      </c>
      <c r="Y51" s="30">
        <f t="shared" si="23"/>
        <v>78</v>
      </c>
      <c r="Z51" s="30">
        <f t="shared" si="23"/>
        <v>0</v>
      </c>
      <c r="AA51" s="30">
        <f t="shared" si="23"/>
        <v>0</v>
      </c>
      <c r="AB51" s="30">
        <f t="shared" si="23"/>
        <v>0</v>
      </c>
      <c r="AC51" s="30" t="e">
        <f t="shared" si="23"/>
        <v>#DIV/0!</v>
      </c>
      <c r="AD51" s="30">
        <f t="shared" si="23"/>
        <v>80</v>
      </c>
      <c r="AE51" s="30">
        <f t="shared" si="23"/>
        <v>0</v>
      </c>
      <c r="AF51" s="30">
        <f t="shared" si="23"/>
        <v>0</v>
      </c>
      <c r="AG51" s="30">
        <f t="shared" si="23"/>
        <v>0</v>
      </c>
      <c r="AH51" s="30" t="e">
        <f t="shared" si="23"/>
        <v>#DIV/0!</v>
      </c>
      <c r="AI51" s="30">
        <f t="shared" si="23"/>
        <v>80</v>
      </c>
      <c r="AJ51" s="30">
        <f t="shared" si="23"/>
        <v>0</v>
      </c>
      <c r="AK51" s="30" t="e">
        <f t="shared" si="23"/>
        <v>#DIV/0!</v>
      </c>
      <c r="AL51" s="30">
        <f t="shared" si="23"/>
        <v>78</v>
      </c>
      <c r="AM51" s="30">
        <f t="shared" ref="AM51:BR51" si="24">MIN(AM9:AM48)</f>
        <v>0</v>
      </c>
      <c r="AN51" s="30">
        <f t="shared" si="24"/>
        <v>0</v>
      </c>
      <c r="AO51" s="30">
        <f t="shared" si="24"/>
        <v>0</v>
      </c>
      <c r="AP51" s="30">
        <f t="shared" si="24"/>
        <v>0</v>
      </c>
      <c r="AQ51" s="30" t="e">
        <f t="shared" si="24"/>
        <v>#DIV/0!</v>
      </c>
      <c r="AR51" s="30">
        <f t="shared" si="24"/>
        <v>0</v>
      </c>
      <c r="AS51" s="30">
        <f t="shared" si="24"/>
        <v>0</v>
      </c>
      <c r="AT51" s="30">
        <f t="shared" si="24"/>
        <v>0</v>
      </c>
      <c r="AU51" s="30">
        <f t="shared" si="24"/>
        <v>0</v>
      </c>
      <c r="AV51" s="30">
        <f t="shared" si="24"/>
        <v>0</v>
      </c>
      <c r="AW51" s="30" t="e">
        <f t="shared" si="24"/>
        <v>#DIV/0!</v>
      </c>
      <c r="AX51" s="30">
        <f t="shared" si="24"/>
        <v>78</v>
      </c>
      <c r="AY51" s="30">
        <f t="shared" si="24"/>
        <v>0</v>
      </c>
      <c r="AZ51" s="30">
        <f t="shared" si="24"/>
        <v>0</v>
      </c>
      <c r="BA51" s="30">
        <f t="shared" si="24"/>
        <v>0</v>
      </c>
      <c r="BB51" s="30">
        <f t="shared" si="24"/>
        <v>0</v>
      </c>
      <c r="BC51" s="30" t="e">
        <f t="shared" si="24"/>
        <v>#DIV/0!</v>
      </c>
      <c r="BD51" s="30">
        <f t="shared" si="24"/>
        <v>78</v>
      </c>
      <c r="BE51" s="30">
        <f t="shared" si="24"/>
        <v>0</v>
      </c>
      <c r="BF51" s="30" t="e">
        <f t="shared" si="24"/>
        <v>#DIV/0!</v>
      </c>
      <c r="BG51" s="30">
        <f t="shared" si="24"/>
        <v>80</v>
      </c>
      <c r="BH51" s="30">
        <f t="shared" si="24"/>
        <v>0</v>
      </c>
      <c r="BI51" s="30" t="e">
        <f t="shared" si="24"/>
        <v>#DIV/0!</v>
      </c>
      <c r="BJ51" s="30">
        <f t="shared" si="24"/>
        <v>78</v>
      </c>
      <c r="BK51" s="30">
        <f t="shared" si="24"/>
        <v>0</v>
      </c>
      <c r="BL51" s="30" t="e">
        <f t="shared" si="24"/>
        <v>#DIV/0!</v>
      </c>
      <c r="BM51" s="30">
        <f t="shared" si="24"/>
        <v>0</v>
      </c>
      <c r="BN51" s="30">
        <f t="shared" si="24"/>
        <v>0</v>
      </c>
      <c r="BO51" s="30">
        <f t="shared" si="24"/>
        <v>0</v>
      </c>
      <c r="BP51" s="30" t="e">
        <f t="shared" si="24"/>
        <v>#DIV/0!</v>
      </c>
      <c r="BQ51" s="30">
        <f t="shared" si="24"/>
        <v>0</v>
      </c>
      <c r="BR51" s="30">
        <f t="shared" si="24"/>
        <v>0</v>
      </c>
      <c r="BS51" s="30">
        <f t="shared" ref="BS51:CA51" si="25">MIN(BS9:BS48)</f>
        <v>0</v>
      </c>
      <c r="BT51" s="30" t="e">
        <f t="shared" si="25"/>
        <v>#DIV/0!</v>
      </c>
      <c r="BU51" s="30">
        <f t="shared" si="25"/>
        <v>0</v>
      </c>
      <c r="BV51" s="30">
        <f t="shared" si="25"/>
        <v>0</v>
      </c>
      <c r="BW51" s="30">
        <f t="shared" si="25"/>
        <v>0</v>
      </c>
      <c r="BX51" s="30">
        <f t="shared" si="25"/>
        <v>0</v>
      </c>
      <c r="BY51" s="30">
        <f t="shared" si="25"/>
        <v>0</v>
      </c>
      <c r="BZ51" s="30" t="e">
        <f t="shared" si="25"/>
        <v>#DIV/0!</v>
      </c>
      <c r="CA51" s="30">
        <f t="shared" si="25"/>
        <v>0</v>
      </c>
    </row>
    <row r="52" spans="1:79" ht="12.5"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</row>
  </sheetData>
  <mergeCells count="45">
    <mergeCell ref="BW6:BZ6"/>
    <mergeCell ref="CA6:CA8"/>
    <mergeCell ref="BW7:BZ7"/>
    <mergeCell ref="S7:X7"/>
    <mergeCell ref="Y7:AC7"/>
    <mergeCell ref="AD7:AH7"/>
    <mergeCell ref="AI7:AK7"/>
    <mergeCell ref="AL7:AQ7"/>
    <mergeCell ref="AR7:AW7"/>
    <mergeCell ref="AX7:BC7"/>
    <mergeCell ref="BD7:BF7"/>
    <mergeCell ref="BG7:BI7"/>
    <mergeCell ref="BJ7:BL7"/>
    <mergeCell ref="BM7:BP7"/>
    <mergeCell ref="BQ7:BT7"/>
    <mergeCell ref="BQ6:BT6"/>
    <mergeCell ref="AX6:BC6"/>
    <mergeCell ref="BD6:BF6"/>
    <mergeCell ref="BG6:BI6"/>
    <mergeCell ref="BJ6:BL6"/>
    <mergeCell ref="BM6:BP6"/>
    <mergeCell ref="BU6:BV6"/>
    <mergeCell ref="G7:L7"/>
    <mergeCell ref="M7:R7"/>
    <mergeCell ref="A49:F49"/>
    <mergeCell ref="A50:F50"/>
    <mergeCell ref="F5:F8"/>
    <mergeCell ref="G5:CA5"/>
    <mergeCell ref="G6:L6"/>
    <mergeCell ref="M6:R6"/>
    <mergeCell ref="S6:X6"/>
    <mergeCell ref="Y6:AC6"/>
    <mergeCell ref="AD6:AH6"/>
    <mergeCell ref="BU7:BV7"/>
    <mergeCell ref="AI6:AK6"/>
    <mergeCell ref="AL6:AQ6"/>
    <mergeCell ref="AR6:AW6"/>
    <mergeCell ref="A51:F51"/>
    <mergeCell ref="A1:F1"/>
    <mergeCell ref="A2:F2"/>
    <mergeCell ref="A5:A8"/>
    <mergeCell ref="B5:B8"/>
    <mergeCell ref="C5:C8"/>
    <mergeCell ref="D5:D8"/>
    <mergeCell ref="E5:E8"/>
  </mergeCells>
  <conditionalFormatting sqref="G9:CA48">
    <cfRule type="expression" dxfId="7" priority="1">
      <formula>NOT(ISNUMBER(G9))</formula>
    </cfRule>
    <cfRule type="expression" dxfId="6" priority="2">
      <formula>AND(ISNUMBER(G9), G9&lt;75)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W60"/>
  <sheetViews>
    <sheetView workbookViewId="0">
      <pane xSplit="4" ySplit="7" topLeftCell="E42" activePane="bottomRight" state="frozen"/>
      <selection pane="topRight" activeCell="E1" sqref="E1"/>
      <selection pane="bottomLeft" activeCell="A8" sqref="A8"/>
      <selection pane="bottomRight" activeCell="F45" sqref="F45"/>
    </sheetView>
  </sheetViews>
  <sheetFormatPr defaultColWidth="12.6328125" defaultRowHeight="15.75" customHeight="1"/>
  <cols>
    <col min="1" max="1" width="6.6328125" customWidth="1"/>
    <col min="2" max="2" width="16.7265625" customWidth="1"/>
    <col min="3" max="3" width="11.26953125" customWidth="1"/>
    <col min="4" max="4" width="29.08984375" customWidth="1"/>
    <col min="5" max="5" width="12.7265625" customWidth="1"/>
  </cols>
  <sheetData>
    <row r="1" spans="1:23" ht="23.25" customHeight="1">
      <c r="A1" s="170" t="s">
        <v>69</v>
      </c>
      <c r="B1" s="150"/>
      <c r="C1" s="150"/>
      <c r="D1" s="150"/>
      <c r="E1" s="150"/>
      <c r="F1" s="150"/>
      <c r="G1" s="32"/>
      <c r="H1" s="32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4"/>
    </row>
    <row r="2" spans="1:23" ht="22.5" customHeight="1">
      <c r="A2" s="170" t="str">
        <f>BIODATA!D7 &amp; " - TAHUN AJARAN 2025 / 2026"</f>
        <v>SMKS PACET - TAHUN AJARAN 2025 / 2026</v>
      </c>
      <c r="B2" s="150"/>
      <c r="C2" s="150"/>
      <c r="D2" s="150"/>
      <c r="E2" s="150"/>
      <c r="F2" s="150"/>
      <c r="G2" s="33"/>
      <c r="H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34"/>
    </row>
    <row r="3" spans="1:23" ht="4.5" customHeight="1">
      <c r="A3" s="35"/>
      <c r="B3" s="35"/>
      <c r="C3" s="35"/>
      <c r="D3" s="36"/>
      <c r="E3" s="37"/>
      <c r="F3" s="38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40"/>
      <c r="S3" s="39"/>
      <c r="T3" s="39"/>
      <c r="U3" s="39"/>
      <c r="V3" s="41"/>
      <c r="W3" s="41"/>
    </row>
    <row r="4" spans="1:23" ht="15.5">
      <c r="A4" s="34"/>
      <c r="B4" s="34"/>
      <c r="C4" s="34"/>
      <c r="D4" s="42"/>
      <c r="E4" s="43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40"/>
      <c r="S4" s="39"/>
      <c r="T4" s="39"/>
      <c r="U4" s="39"/>
      <c r="V4" s="41"/>
      <c r="W4" s="41"/>
    </row>
    <row r="5" spans="1:23" ht="12.5">
      <c r="A5" s="171" t="s">
        <v>20</v>
      </c>
      <c r="B5" s="171" t="s">
        <v>21</v>
      </c>
      <c r="C5" s="171" t="s">
        <v>22</v>
      </c>
      <c r="D5" s="171" t="s">
        <v>70</v>
      </c>
      <c r="E5" s="171" t="s">
        <v>46</v>
      </c>
      <c r="F5" s="174" t="s">
        <v>71</v>
      </c>
      <c r="G5" s="174" t="s">
        <v>72</v>
      </c>
      <c r="H5" s="174" t="s">
        <v>73</v>
      </c>
      <c r="I5" s="174" t="s">
        <v>74</v>
      </c>
      <c r="J5" s="174" t="s">
        <v>75</v>
      </c>
      <c r="K5" s="174" t="s">
        <v>76</v>
      </c>
      <c r="L5" s="174" t="s">
        <v>77</v>
      </c>
      <c r="M5" s="174" t="s">
        <v>78</v>
      </c>
      <c r="N5" s="174" t="s">
        <v>79</v>
      </c>
      <c r="O5" s="174" t="s">
        <v>80</v>
      </c>
      <c r="P5" s="174" t="s">
        <v>81</v>
      </c>
      <c r="Q5" s="174" t="s">
        <v>82</v>
      </c>
      <c r="R5" s="174" t="s">
        <v>83</v>
      </c>
      <c r="S5" s="174" t="s">
        <v>84</v>
      </c>
      <c r="T5" s="174" t="s">
        <v>85</v>
      </c>
      <c r="U5" s="174" t="s">
        <v>86</v>
      </c>
      <c r="V5" s="174" t="s">
        <v>87</v>
      </c>
      <c r="W5" s="174" t="s">
        <v>88</v>
      </c>
    </row>
    <row r="6" spans="1:23" ht="12.5">
      <c r="A6" s="172"/>
      <c r="B6" s="172"/>
      <c r="C6" s="172"/>
      <c r="D6" s="172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2"/>
      <c r="V6" s="172"/>
      <c r="W6" s="172"/>
    </row>
    <row r="7" spans="1:23" ht="18.75" customHeight="1">
      <c r="A7" s="173"/>
      <c r="B7" s="173"/>
      <c r="C7" s="173"/>
      <c r="D7" s="173"/>
      <c r="E7" s="173"/>
      <c r="F7" s="44">
        <v>1</v>
      </c>
      <c r="G7" s="44">
        <v>2</v>
      </c>
      <c r="H7" s="44">
        <v>3</v>
      </c>
      <c r="I7" s="44">
        <v>4</v>
      </c>
      <c r="J7" s="44">
        <v>5</v>
      </c>
      <c r="K7" s="44">
        <v>6</v>
      </c>
      <c r="L7" s="44">
        <v>7</v>
      </c>
      <c r="M7" s="44">
        <v>8</v>
      </c>
      <c r="N7" s="44">
        <v>9</v>
      </c>
      <c r="O7" s="44">
        <v>10</v>
      </c>
      <c r="P7" s="44">
        <v>11</v>
      </c>
      <c r="Q7" s="44">
        <v>12</v>
      </c>
      <c r="R7" s="44">
        <v>13</v>
      </c>
      <c r="S7" s="44">
        <v>14</v>
      </c>
      <c r="T7" s="44">
        <v>15</v>
      </c>
      <c r="U7" s="173"/>
      <c r="V7" s="173"/>
      <c r="W7" s="173"/>
    </row>
    <row r="8" spans="1:23" ht="14.5">
      <c r="A8" s="22">
        <v>1</v>
      </c>
      <c r="B8" s="22">
        <f>RR!B9</f>
        <v>0</v>
      </c>
      <c r="C8" s="22">
        <f>RR!C9</f>
        <v>0</v>
      </c>
      <c r="D8" s="45" t="str">
        <f>RR!D9</f>
        <v>ABIL QOSHIM HAMDI</v>
      </c>
      <c r="E8" s="46" t="str">
        <f>RR!F9</f>
        <v>X TKR 1</v>
      </c>
      <c r="F8" s="25">
        <v>86</v>
      </c>
      <c r="G8" s="25">
        <v>80</v>
      </c>
      <c r="H8" s="25">
        <v>80</v>
      </c>
      <c r="I8" s="25">
        <v>85</v>
      </c>
      <c r="J8" s="25">
        <v>83</v>
      </c>
      <c r="K8" s="25">
        <v>82</v>
      </c>
      <c r="L8" s="25">
        <v>85</v>
      </c>
      <c r="M8" s="25">
        <v>80</v>
      </c>
      <c r="N8" s="25">
        <v>85</v>
      </c>
      <c r="O8" s="25">
        <v>82</v>
      </c>
      <c r="P8" s="25">
        <v>82</v>
      </c>
      <c r="Q8" s="25">
        <v>80</v>
      </c>
      <c r="R8" s="25">
        <v>85</v>
      </c>
      <c r="S8" s="25">
        <v>80</v>
      </c>
      <c r="T8" s="25">
        <v>80</v>
      </c>
      <c r="U8" s="47">
        <f t="shared" ref="U8:U47" si="0">IFERROR(ROUND(AVERAGE(F8:T8),2),0)</f>
        <v>82.33</v>
      </c>
      <c r="V8" s="47">
        <f t="shared" ref="V8:V47" si="1">MAX(F8:T8)</f>
        <v>86</v>
      </c>
      <c r="W8" s="47">
        <f t="shared" ref="W8:W47" si="2">MIN(F8:T8)</f>
        <v>80</v>
      </c>
    </row>
    <row r="9" spans="1:23" ht="14.5">
      <c r="A9" s="22">
        <v>2</v>
      </c>
      <c r="B9" s="22">
        <f>RR!B10</f>
        <v>0</v>
      </c>
      <c r="C9" s="22">
        <f>RR!C10</f>
        <v>0</v>
      </c>
      <c r="D9" s="45" t="str">
        <f>RR!D10</f>
        <v>AHMA SELGI NUR SA'BAN</v>
      </c>
      <c r="E9" s="46" t="str">
        <f>RR!F10</f>
        <v>X TKR 1</v>
      </c>
      <c r="F9" s="25">
        <v>80</v>
      </c>
      <c r="G9" s="25">
        <v>81</v>
      </c>
      <c r="H9" s="25">
        <v>81</v>
      </c>
      <c r="I9" s="25">
        <v>81</v>
      </c>
      <c r="J9" s="25">
        <v>80</v>
      </c>
      <c r="K9" s="25">
        <v>80</v>
      </c>
      <c r="L9" s="25">
        <v>81</v>
      </c>
      <c r="M9" s="25">
        <v>80</v>
      </c>
      <c r="N9" s="25">
        <v>80</v>
      </c>
      <c r="O9" s="25">
        <v>80</v>
      </c>
      <c r="P9" s="25">
        <v>79</v>
      </c>
      <c r="Q9" s="25">
        <v>81</v>
      </c>
      <c r="R9" s="25">
        <v>84</v>
      </c>
      <c r="S9" s="25">
        <v>81</v>
      </c>
      <c r="T9" s="25">
        <v>81</v>
      </c>
      <c r="U9" s="47">
        <f t="shared" si="0"/>
        <v>80.67</v>
      </c>
      <c r="V9" s="47">
        <f t="shared" si="1"/>
        <v>84</v>
      </c>
      <c r="W9" s="47">
        <f t="shared" si="2"/>
        <v>79</v>
      </c>
    </row>
    <row r="10" spans="1:23" ht="14.5">
      <c r="A10" s="22">
        <v>3</v>
      </c>
      <c r="B10" s="22">
        <f>RR!B11</f>
        <v>0</v>
      </c>
      <c r="C10" s="22">
        <f>RR!C11</f>
        <v>0</v>
      </c>
      <c r="D10" s="45" t="str">
        <f>RR!D11</f>
        <v>AHMAD ISOMUDDIN KHADIIQ</v>
      </c>
      <c r="E10" s="46" t="str">
        <f>RR!F11</f>
        <v>X TKR 1</v>
      </c>
      <c r="F10" s="25">
        <v>81</v>
      </c>
      <c r="G10" s="25">
        <v>80</v>
      </c>
      <c r="H10" s="25">
        <v>78</v>
      </c>
      <c r="I10" s="25">
        <v>80</v>
      </c>
      <c r="J10" s="25">
        <v>80</v>
      </c>
      <c r="K10" s="25">
        <v>82</v>
      </c>
      <c r="L10" s="25">
        <v>80</v>
      </c>
      <c r="M10" s="25">
        <v>87</v>
      </c>
      <c r="N10" s="25">
        <v>80</v>
      </c>
      <c r="O10" s="25">
        <v>83</v>
      </c>
      <c r="P10" s="25">
        <v>79</v>
      </c>
      <c r="Q10" s="25">
        <v>87</v>
      </c>
      <c r="R10" s="25">
        <v>87</v>
      </c>
      <c r="S10" s="25">
        <v>87</v>
      </c>
      <c r="T10" s="25">
        <v>87</v>
      </c>
      <c r="U10" s="47">
        <f t="shared" si="0"/>
        <v>82.53</v>
      </c>
      <c r="V10" s="47">
        <f t="shared" si="1"/>
        <v>87</v>
      </c>
      <c r="W10" s="47">
        <f t="shared" si="2"/>
        <v>78</v>
      </c>
    </row>
    <row r="11" spans="1:23" ht="14.5">
      <c r="A11" s="22">
        <v>4</v>
      </c>
      <c r="B11" s="22">
        <f>RR!B12</f>
        <v>0</v>
      </c>
      <c r="C11" s="22">
        <f>RR!C12</f>
        <v>0</v>
      </c>
      <c r="D11" s="45" t="str">
        <f>RR!D12</f>
        <v>AHMAD VERNANDO ZAKARIA</v>
      </c>
      <c r="E11" s="46" t="str">
        <f>RR!F12</f>
        <v>X TKR 1</v>
      </c>
      <c r="F11" s="25">
        <v>99</v>
      </c>
      <c r="G11" s="25">
        <v>89</v>
      </c>
      <c r="H11" s="25">
        <v>88</v>
      </c>
      <c r="I11" s="25">
        <v>90</v>
      </c>
      <c r="J11" s="25">
        <v>94</v>
      </c>
      <c r="K11" s="25">
        <v>91</v>
      </c>
      <c r="L11" s="25">
        <v>90</v>
      </c>
      <c r="M11" s="25">
        <v>91</v>
      </c>
      <c r="N11" s="25">
        <v>90</v>
      </c>
      <c r="O11" s="25">
        <v>90</v>
      </c>
      <c r="P11" s="25">
        <v>93</v>
      </c>
      <c r="Q11" s="25">
        <v>90</v>
      </c>
      <c r="R11" s="25">
        <v>90</v>
      </c>
      <c r="S11" s="25">
        <v>91</v>
      </c>
      <c r="T11" s="25">
        <v>91</v>
      </c>
      <c r="U11" s="47">
        <f t="shared" si="0"/>
        <v>91.13</v>
      </c>
      <c r="V11" s="47">
        <f t="shared" si="1"/>
        <v>99</v>
      </c>
      <c r="W11" s="47">
        <f t="shared" si="2"/>
        <v>88</v>
      </c>
    </row>
    <row r="12" spans="1:23" ht="14.5">
      <c r="A12" s="22">
        <v>5</v>
      </c>
      <c r="B12" s="22">
        <f>RR!B13</f>
        <v>0</v>
      </c>
      <c r="C12" s="22">
        <f>RR!C13</f>
        <v>0</v>
      </c>
      <c r="D12" s="45" t="str">
        <f>RR!D13</f>
        <v>ALVAREZA SETIA ANGGARA</v>
      </c>
      <c r="E12" s="46" t="str">
        <f>RR!F13</f>
        <v>X TKR 1</v>
      </c>
      <c r="F12" s="25">
        <v>85</v>
      </c>
      <c r="G12" s="25">
        <v>85</v>
      </c>
      <c r="H12" s="25">
        <v>78</v>
      </c>
      <c r="I12" s="25">
        <v>80</v>
      </c>
      <c r="J12" s="25">
        <v>85</v>
      </c>
      <c r="K12" s="25">
        <v>81</v>
      </c>
      <c r="L12" s="25">
        <v>80</v>
      </c>
      <c r="M12" s="25">
        <v>82</v>
      </c>
      <c r="N12" s="25">
        <v>80</v>
      </c>
      <c r="O12" s="25">
        <v>81</v>
      </c>
      <c r="P12" s="25">
        <v>84</v>
      </c>
      <c r="Q12" s="25">
        <v>82</v>
      </c>
      <c r="R12" s="25">
        <v>84</v>
      </c>
      <c r="S12" s="25">
        <v>82</v>
      </c>
      <c r="T12" s="25">
        <v>82</v>
      </c>
      <c r="U12" s="47">
        <f t="shared" si="0"/>
        <v>82.07</v>
      </c>
      <c r="V12" s="47">
        <f t="shared" si="1"/>
        <v>85</v>
      </c>
      <c r="W12" s="47">
        <f t="shared" si="2"/>
        <v>78</v>
      </c>
    </row>
    <row r="13" spans="1:23" ht="14.5">
      <c r="A13" s="22">
        <v>6</v>
      </c>
      <c r="B13" s="22">
        <f>RR!B14</f>
        <v>0</v>
      </c>
      <c r="C13" s="22">
        <f>RR!C14</f>
        <v>0</v>
      </c>
      <c r="D13" s="45" t="str">
        <f>RR!D14</f>
        <v>ARSYAD ADITIA WIYONO</v>
      </c>
      <c r="E13" s="46" t="str">
        <f>RR!F14</f>
        <v>X TKR 1</v>
      </c>
      <c r="F13" s="25">
        <v>78</v>
      </c>
      <c r="G13" s="25">
        <v>80</v>
      </c>
      <c r="H13" s="25">
        <v>81</v>
      </c>
      <c r="I13" s="25">
        <v>80</v>
      </c>
      <c r="J13" s="25">
        <v>79</v>
      </c>
      <c r="K13" s="25">
        <v>79</v>
      </c>
      <c r="L13" s="25">
        <v>80</v>
      </c>
      <c r="M13" s="25">
        <v>78</v>
      </c>
      <c r="N13" s="25">
        <v>78</v>
      </c>
      <c r="O13" s="25">
        <v>78</v>
      </c>
      <c r="P13" s="25">
        <v>78</v>
      </c>
      <c r="Q13" s="25">
        <v>81</v>
      </c>
      <c r="R13" s="25">
        <v>80</v>
      </c>
      <c r="S13" s="25">
        <v>80</v>
      </c>
      <c r="T13" s="25">
        <v>80</v>
      </c>
      <c r="U13" s="47">
        <f t="shared" si="0"/>
        <v>79.33</v>
      </c>
      <c r="V13" s="47">
        <f t="shared" si="1"/>
        <v>81</v>
      </c>
      <c r="W13" s="47">
        <f t="shared" si="2"/>
        <v>78</v>
      </c>
    </row>
    <row r="14" spans="1:23" ht="14.5">
      <c r="A14" s="22">
        <v>7</v>
      </c>
      <c r="B14" s="22">
        <f>RR!B15</f>
        <v>0</v>
      </c>
      <c r="C14" s="22">
        <f>RR!C15</f>
        <v>0</v>
      </c>
      <c r="D14" s="45" t="str">
        <f>RR!D15</f>
        <v>AULIYA ROHMAN AL BAIHAQI</v>
      </c>
      <c r="E14" s="46" t="str">
        <f>RR!F15</f>
        <v>X TKR 1</v>
      </c>
      <c r="F14" s="25">
        <v>78</v>
      </c>
      <c r="G14" s="25">
        <v>78</v>
      </c>
      <c r="H14" s="25">
        <v>82</v>
      </c>
      <c r="I14" s="25">
        <v>78</v>
      </c>
      <c r="J14" s="25">
        <v>78</v>
      </c>
      <c r="K14" s="25">
        <v>79</v>
      </c>
      <c r="L14" s="25">
        <v>78</v>
      </c>
      <c r="M14" s="25">
        <v>78</v>
      </c>
      <c r="N14" s="25">
        <v>78</v>
      </c>
      <c r="O14" s="25">
        <v>78</v>
      </c>
      <c r="P14" s="25">
        <v>77</v>
      </c>
      <c r="Q14" s="25">
        <v>82</v>
      </c>
      <c r="R14" s="25">
        <v>84</v>
      </c>
      <c r="S14" s="25">
        <v>78</v>
      </c>
      <c r="T14" s="25">
        <v>78</v>
      </c>
      <c r="U14" s="47">
        <f t="shared" si="0"/>
        <v>78.930000000000007</v>
      </c>
      <c r="V14" s="47">
        <f t="shared" si="1"/>
        <v>84</v>
      </c>
      <c r="W14" s="47">
        <f t="shared" si="2"/>
        <v>77</v>
      </c>
    </row>
    <row r="15" spans="1:23" ht="14.5">
      <c r="A15" s="22">
        <v>8</v>
      </c>
      <c r="B15" s="22">
        <f>RR!B16</f>
        <v>0</v>
      </c>
      <c r="C15" s="22">
        <f>RR!C16</f>
        <v>0</v>
      </c>
      <c r="D15" s="45" t="str">
        <f>RR!D16</f>
        <v>AZIZUL HILMI FIRDAUS</v>
      </c>
      <c r="E15" s="46" t="str">
        <f>RR!F16</f>
        <v>X TKR 1</v>
      </c>
      <c r="F15" s="25">
        <v>78</v>
      </c>
      <c r="G15" s="25">
        <v>85</v>
      </c>
      <c r="H15" s="25">
        <v>86</v>
      </c>
      <c r="I15" s="25">
        <v>85</v>
      </c>
      <c r="J15" s="25">
        <v>81</v>
      </c>
      <c r="K15" s="25">
        <v>82</v>
      </c>
      <c r="L15" s="25">
        <v>85</v>
      </c>
      <c r="M15" s="25">
        <v>78</v>
      </c>
      <c r="N15" s="25">
        <v>78</v>
      </c>
      <c r="O15" s="25">
        <v>78</v>
      </c>
      <c r="P15" s="25">
        <v>80</v>
      </c>
      <c r="Q15" s="25">
        <v>86</v>
      </c>
      <c r="R15" s="25">
        <v>87</v>
      </c>
      <c r="S15" s="25">
        <v>85</v>
      </c>
      <c r="T15" s="25">
        <v>85</v>
      </c>
      <c r="U15" s="47">
        <f t="shared" si="0"/>
        <v>82.6</v>
      </c>
      <c r="V15" s="47">
        <f t="shared" si="1"/>
        <v>87</v>
      </c>
      <c r="W15" s="47">
        <f t="shared" si="2"/>
        <v>78</v>
      </c>
    </row>
    <row r="16" spans="1:23" ht="14.5">
      <c r="A16" s="22">
        <v>9</v>
      </c>
      <c r="B16" s="22">
        <f>RR!B17</f>
        <v>0</v>
      </c>
      <c r="C16" s="22">
        <f>RR!C17</f>
        <v>0</v>
      </c>
      <c r="D16" s="45" t="str">
        <f>RR!D17</f>
        <v>DENILSEN ZAUSA OCTAVIANUS HERMANTO</v>
      </c>
      <c r="E16" s="46" t="str">
        <f>RR!F17</f>
        <v>X TKR 1</v>
      </c>
      <c r="F16" s="25">
        <v>82</v>
      </c>
      <c r="G16" s="25">
        <v>85</v>
      </c>
      <c r="H16" s="25">
        <v>86</v>
      </c>
      <c r="I16" s="25">
        <v>85</v>
      </c>
      <c r="J16" s="25">
        <v>83</v>
      </c>
      <c r="K16" s="25">
        <v>84</v>
      </c>
      <c r="L16" s="25">
        <v>85</v>
      </c>
      <c r="M16" s="25">
        <v>82</v>
      </c>
      <c r="N16" s="25">
        <v>82</v>
      </c>
      <c r="O16" s="25">
        <v>82</v>
      </c>
      <c r="P16" s="25">
        <v>82</v>
      </c>
      <c r="Q16" s="25">
        <v>86</v>
      </c>
      <c r="R16" s="25">
        <v>85</v>
      </c>
      <c r="S16" s="25">
        <v>85</v>
      </c>
      <c r="T16" s="25">
        <v>85</v>
      </c>
      <c r="U16" s="47">
        <f t="shared" si="0"/>
        <v>83.93</v>
      </c>
      <c r="V16" s="47">
        <f t="shared" si="1"/>
        <v>86</v>
      </c>
      <c r="W16" s="47">
        <f t="shared" si="2"/>
        <v>82</v>
      </c>
    </row>
    <row r="17" spans="1:23" ht="14.5">
      <c r="A17" s="22">
        <v>10</v>
      </c>
      <c r="B17" s="22">
        <f>RR!B18</f>
        <v>0</v>
      </c>
      <c r="C17" s="22">
        <f>RR!C18</f>
        <v>0</v>
      </c>
      <c r="D17" s="45" t="str">
        <f>RR!D18</f>
        <v>FAJAR MAS'UD ALAMSYAH</v>
      </c>
      <c r="E17" s="46" t="str">
        <f>RR!F18</f>
        <v>X TKR 1</v>
      </c>
      <c r="F17" s="25">
        <v>86</v>
      </c>
      <c r="G17" s="25">
        <v>80</v>
      </c>
      <c r="H17" s="25">
        <v>80</v>
      </c>
      <c r="I17" s="25">
        <v>80</v>
      </c>
      <c r="J17" s="25">
        <v>83</v>
      </c>
      <c r="K17" s="25">
        <v>82</v>
      </c>
      <c r="L17" s="25">
        <v>80</v>
      </c>
      <c r="M17" s="25">
        <v>84</v>
      </c>
      <c r="N17" s="25">
        <v>80</v>
      </c>
      <c r="O17" s="25">
        <v>82</v>
      </c>
      <c r="P17" s="25">
        <v>82</v>
      </c>
      <c r="Q17" s="25">
        <v>84</v>
      </c>
      <c r="R17" s="25">
        <v>86</v>
      </c>
      <c r="S17" s="25">
        <v>84</v>
      </c>
      <c r="T17" s="25">
        <v>84</v>
      </c>
      <c r="U17" s="47">
        <f t="shared" si="0"/>
        <v>82.47</v>
      </c>
      <c r="V17" s="47">
        <f t="shared" si="1"/>
        <v>86</v>
      </c>
      <c r="W17" s="47">
        <f t="shared" si="2"/>
        <v>80</v>
      </c>
    </row>
    <row r="18" spans="1:23" ht="14.5">
      <c r="A18" s="22">
        <v>11</v>
      </c>
      <c r="B18" s="22">
        <f>RR!B19</f>
        <v>0</v>
      </c>
      <c r="C18" s="22">
        <f>RR!C19</f>
        <v>0</v>
      </c>
      <c r="D18" s="45" t="str">
        <f>RR!D19</f>
        <v>JEFRI ALIF SUHENDRIK</v>
      </c>
      <c r="E18" s="46" t="str">
        <f>RR!F19</f>
        <v>X TKR 1</v>
      </c>
      <c r="F18" s="25">
        <v>82</v>
      </c>
      <c r="G18" s="25">
        <v>80</v>
      </c>
      <c r="H18" s="25">
        <v>83</v>
      </c>
      <c r="I18" s="25">
        <v>80</v>
      </c>
      <c r="J18" s="25">
        <v>81</v>
      </c>
      <c r="K18" s="25">
        <v>81</v>
      </c>
      <c r="L18" s="25">
        <v>80</v>
      </c>
      <c r="M18" s="25">
        <v>82</v>
      </c>
      <c r="N18" s="25">
        <v>82</v>
      </c>
      <c r="O18" s="25">
        <v>82</v>
      </c>
      <c r="P18" s="25">
        <v>80</v>
      </c>
      <c r="Q18" s="25">
        <v>83</v>
      </c>
      <c r="R18" s="25">
        <v>85</v>
      </c>
      <c r="S18" s="25">
        <v>80</v>
      </c>
      <c r="T18" s="25">
        <v>80</v>
      </c>
      <c r="U18" s="47">
        <f t="shared" si="0"/>
        <v>81.400000000000006</v>
      </c>
      <c r="V18" s="47">
        <f t="shared" si="1"/>
        <v>85</v>
      </c>
      <c r="W18" s="47">
        <f t="shared" si="2"/>
        <v>80</v>
      </c>
    </row>
    <row r="19" spans="1:23" ht="14.5">
      <c r="A19" s="22">
        <v>12</v>
      </c>
      <c r="B19" s="22">
        <f>RR!B20</f>
        <v>0</v>
      </c>
      <c r="C19" s="22">
        <f>RR!C20</f>
        <v>0</v>
      </c>
      <c r="D19" s="45" t="str">
        <f>RR!D20</f>
        <v>KRISNA DWI PUTRA</v>
      </c>
      <c r="E19" s="46" t="str">
        <f>RR!F20</f>
        <v>X TKR 1</v>
      </c>
      <c r="F19" s="25">
        <v>88</v>
      </c>
      <c r="G19" s="25">
        <v>80</v>
      </c>
      <c r="H19" s="25">
        <v>83</v>
      </c>
      <c r="I19" s="25">
        <v>78</v>
      </c>
      <c r="J19" s="25">
        <v>84</v>
      </c>
      <c r="K19" s="25">
        <v>83</v>
      </c>
      <c r="L19" s="25">
        <v>78</v>
      </c>
      <c r="M19" s="25">
        <v>86</v>
      </c>
      <c r="N19" s="25">
        <v>78</v>
      </c>
      <c r="O19" s="25">
        <v>82</v>
      </c>
      <c r="P19" s="25">
        <v>83</v>
      </c>
      <c r="Q19" s="25">
        <v>86</v>
      </c>
      <c r="R19" s="25">
        <v>85</v>
      </c>
      <c r="S19" s="25">
        <v>86</v>
      </c>
      <c r="T19" s="25">
        <v>86</v>
      </c>
      <c r="U19" s="47">
        <f t="shared" si="0"/>
        <v>83.07</v>
      </c>
      <c r="V19" s="47">
        <f t="shared" si="1"/>
        <v>88</v>
      </c>
      <c r="W19" s="47">
        <f t="shared" si="2"/>
        <v>78</v>
      </c>
    </row>
    <row r="20" spans="1:23" ht="14.5">
      <c r="A20" s="22">
        <v>13</v>
      </c>
      <c r="B20" s="22">
        <f>RR!B21</f>
        <v>0</v>
      </c>
      <c r="C20" s="22">
        <f>RR!C21</f>
        <v>0</v>
      </c>
      <c r="D20" s="45" t="str">
        <f>RR!D21</f>
        <v>MARCELO JONAS NATRA ARSYAFIN</v>
      </c>
      <c r="E20" s="46" t="str">
        <f>RR!F21</f>
        <v>X TKR 1</v>
      </c>
      <c r="F20" s="25">
        <v>80</v>
      </c>
      <c r="G20" s="25">
        <v>82</v>
      </c>
      <c r="H20" s="25">
        <v>84</v>
      </c>
      <c r="I20" s="25">
        <v>82</v>
      </c>
      <c r="J20" s="25">
        <v>81</v>
      </c>
      <c r="K20" s="25">
        <v>81</v>
      </c>
      <c r="L20" s="25">
        <v>82</v>
      </c>
      <c r="M20" s="25">
        <v>80</v>
      </c>
      <c r="N20" s="25">
        <v>80</v>
      </c>
      <c r="O20" s="25">
        <v>80</v>
      </c>
      <c r="P20" s="25">
        <v>80</v>
      </c>
      <c r="Q20" s="25">
        <v>84</v>
      </c>
      <c r="R20" s="25">
        <v>85</v>
      </c>
      <c r="S20" s="25">
        <v>82</v>
      </c>
      <c r="T20" s="25">
        <v>82</v>
      </c>
      <c r="U20" s="47">
        <f t="shared" si="0"/>
        <v>81.67</v>
      </c>
      <c r="V20" s="47">
        <f t="shared" si="1"/>
        <v>85</v>
      </c>
      <c r="W20" s="47">
        <f t="shared" si="2"/>
        <v>80</v>
      </c>
    </row>
    <row r="21" spans="1:23" ht="14.5">
      <c r="A21" s="22">
        <v>14</v>
      </c>
      <c r="B21" s="22">
        <f>RR!B22</f>
        <v>0</v>
      </c>
      <c r="C21" s="22">
        <f>RR!C22</f>
        <v>0</v>
      </c>
      <c r="D21" s="45" t="str">
        <f>RR!D22</f>
        <v>MOCHAMAD DWI ADISATRIO</v>
      </c>
      <c r="E21" s="46" t="str">
        <f>RR!F22</f>
        <v>X TKR 1</v>
      </c>
      <c r="F21" s="25">
        <v>81</v>
      </c>
      <c r="G21" s="25">
        <v>80</v>
      </c>
      <c r="H21" s="25">
        <v>80</v>
      </c>
      <c r="I21" s="25">
        <v>80</v>
      </c>
      <c r="J21" s="25">
        <v>80</v>
      </c>
      <c r="K21" s="25">
        <v>83</v>
      </c>
      <c r="L21" s="25">
        <v>80</v>
      </c>
      <c r="M21" s="25">
        <v>89</v>
      </c>
      <c r="N21" s="25">
        <v>80</v>
      </c>
      <c r="O21" s="25">
        <v>84</v>
      </c>
      <c r="P21" s="25">
        <v>79</v>
      </c>
      <c r="Q21" s="25">
        <v>89</v>
      </c>
      <c r="R21" s="25">
        <v>84</v>
      </c>
      <c r="S21" s="25">
        <v>89</v>
      </c>
      <c r="T21" s="25">
        <v>89</v>
      </c>
      <c r="U21" s="47">
        <f t="shared" si="0"/>
        <v>83.13</v>
      </c>
      <c r="V21" s="47">
        <f t="shared" si="1"/>
        <v>89</v>
      </c>
      <c r="W21" s="47">
        <f t="shared" si="2"/>
        <v>79</v>
      </c>
    </row>
    <row r="22" spans="1:23" ht="14.5">
      <c r="A22" s="22">
        <v>15</v>
      </c>
      <c r="B22" s="22">
        <f>RR!B23</f>
        <v>0</v>
      </c>
      <c r="C22" s="22">
        <f>RR!C23</f>
        <v>0</v>
      </c>
      <c r="D22" s="45" t="str">
        <f>RR!D23</f>
        <v>MOHAMMAD BAMBANG SUBANDI</v>
      </c>
      <c r="E22" s="46" t="str">
        <f>RR!F23</f>
        <v>X TKR 1</v>
      </c>
      <c r="F22" s="25">
        <v>83</v>
      </c>
      <c r="G22" s="25">
        <v>80</v>
      </c>
      <c r="H22" s="25">
        <v>80</v>
      </c>
      <c r="I22" s="25">
        <v>78</v>
      </c>
      <c r="J22" s="25">
        <v>81</v>
      </c>
      <c r="K22" s="25">
        <v>82</v>
      </c>
      <c r="L22" s="25">
        <v>78</v>
      </c>
      <c r="M22" s="25">
        <v>87</v>
      </c>
      <c r="N22" s="25">
        <v>78</v>
      </c>
      <c r="O22" s="25">
        <v>82</v>
      </c>
      <c r="P22" s="25">
        <v>80</v>
      </c>
      <c r="Q22" s="25">
        <v>87</v>
      </c>
      <c r="R22" s="25">
        <v>84</v>
      </c>
      <c r="S22" s="25">
        <v>87</v>
      </c>
      <c r="T22" s="25">
        <v>87</v>
      </c>
      <c r="U22" s="47">
        <f t="shared" si="0"/>
        <v>82.27</v>
      </c>
      <c r="V22" s="47">
        <f t="shared" si="1"/>
        <v>87</v>
      </c>
      <c r="W22" s="47">
        <f t="shared" si="2"/>
        <v>78</v>
      </c>
    </row>
    <row r="23" spans="1:23" ht="14.5">
      <c r="A23" s="22">
        <v>16</v>
      </c>
      <c r="B23" s="22">
        <f>RR!B24</f>
        <v>0</v>
      </c>
      <c r="C23" s="22">
        <f>RR!C24</f>
        <v>0</v>
      </c>
      <c r="D23" s="45" t="str">
        <f>RR!D24</f>
        <v>MOHAMMAD ILHAM ABDULLOH</v>
      </c>
      <c r="E23" s="46" t="str">
        <f>RR!F24</f>
        <v>X TKR 1</v>
      </c>
      <c r="F23" s="25">
        <v>79</v>
      </c>
      <c r="G23" s="25">
        <v>80</v>
      </c>
      <c r="H23" s="25">
        <v>78</v>
      </c>
      <c r="I23" s="25">
        <v>78</v>
      </c>
      <c r="J23" s="25">
        <v>79</v>
      </c>
      <c r="K23" s="25">
        <v>81</v>
      </c>
      <c r="L23" s="25">
        <v>78</v>
      </c>
      <c r="M23" s="25">
        <v>87</v>
      </c>
      <c r="N23" s="25">
        <v>78</v>
      </c>
      <c r="O23" s="25">
        <v>82</v>
      </c>
      <c r="P23" s="25">
        <v>78</v>
      </c>
      <c r="Q23" s="25">
        <v>87</v>
      </c>
      <c r="R23" s="25">
        <v>84</v>
      </c>
      <c r="S23" s="25">
        <v>87</v>
      </c>
      <c r="T23" s="25">
        <v>87</v>
      </c>
      <c r="U23" s="47">
        <f t="shared" si="0"/>
        <v>81.53</v>
      </c>
      <c r="V23" s="47">
        <f t="shared" si="1"/>
        <v>87</v>
      </c>
      <c r="W23" s="47">
        <f t="shared" si="2"/>
        <v>78</v>
      </c>
    </row>
    <row r="24" spans="1:23" ht="14.5">
      <c r="A24" s="22">
        <v>17</v>
      </c>
      <c r="B24" s="22">
        <f>RR!B25</f>
        <v>0</v>
      </c>
      <c r="C24" s="22">
        <f>RR!C25</f>
        <v>0</v>
      </c>
      <c r="D24" s="45" t="str">
        <f>RR!D25</f>
        <v>MUHAMAD IQBAL LUCKY SAPUTRA</v>
      </c>
      <c r="E24" s="46" t="str">
        <f>RR!F25</f>
        <v>X TKR 1</v>
      </c>
      <c r="F24" s="25">
        <v>80</v>
      </c>
      <c r="G24" s="25">
        <v>80</v>
      </c>
      <c r="H24" s="25">
        <v>81</v>
      </c>
      <c r="I24" s="25">
        <v>80</v>
      </c>
      <c r="J24" s="25">
        <v>80</v>
      </c>
      <c r="K24" s="25">
        <v>80</v>
      </c>
      <c r="L24" s="25">
        <v>80</v>
      </c>
      <c r="M24" s="25">
        <v>80</v>
      </c>
      <c r="N24" s="25">
        <v>80</v>
      </c>
      <c r="O24" s="25">
        <v>80</v>
      </c>
      <c r="P24" s="25">
        <v>79</v>
      </c>
      <c r="Q24" s="25">
        <v>81</v>
      </c>
      <c r="R24" s="25">
        <v>85</v>
      </c>
      <c r="S24" s="25">
        <v>80</v>
      </c>
      <c r="T24" s="25">
        <v>80</v>
      </c>
      <c r="U24" s="47">
        <f t="shared" si="0"/>
        <v>80.400000000000006</v>
      </c>
      <c r="V24" s="47">
        <f t="shared" si="1"/>
        <v>85</v>
      </c>
      <c r="W24" s="47">
        <f t="shared" si="2"/>
        <v>79</v>
      </c>
    </row>
    <row r="25" spans="1:23" ht="14.5">
      <c r="A25" s="22">
        <v>18</v>
      </c>
      <c r="B25" s="22">
        <f>RR!B26</f>
        <v>0</v>
      </c>
      <c r="C25" s="22">
        <f>RR!C26</f>
        <v>0</v>
      </c>
      <c r="D25" s="45" t="str">
        <f>RR!D26</f>
        <v>MUHAMMAD ARDIAN CAHYA PRADANA</v>
      </c>
      <c r="E25" s="46" t="str">
        <f>RR!F26</f>
        <v>X TKR 1</v>
      </c>
      <c r="F25" s="25">
        <v>85</v>
      </c>
      <c r="G25" s="25">
        <v>80</v>
      </c>
      <c r="H25" s="25">
        <v>78</v>
      </c>
      <c r="I25" s="25">
        <v>78</v>
      </c>
      <c r="J25" s="25">
        <v>82</v>
      </c>
      <c r="K25" s="25">
        <v>82</v>
      </c>
      <c r="L25" s="25">
        <v>78</v>
      </c>
      <c r="M25" s="25">
        <v>88</v>
      </c>
      <c r="N25" s="25">
        <v>78</v>
      </c>
      <c r="O25" s="25">
        <v>83</v>
      </c>
      <c r="P25" s="25">
        <v>81</v>
      </c>
      <c r="Q25" s="25">
        <v>88</v>
      </c>
      <c r="R25" s="25">
        <v>85</v>
      </c>
      <c r="S25" s="25">
        <v>88</v>
      </c>
      <c r="T25" s="25">
        <v>88</v>
      </c>
      <c r="U25" s="47">
        <f t="shared" si="0"/>
        <v>82.8</v>
      </c>
      <c r="V25" s="47">
        <f t="shared" si="1"/>
        <v>88</v>
      </c>
      <c r="W25" s="47">
        <f t="shared" si="2"/>
        <v>78</v>
      </c>
    </row>
    <row r="26" spans="1:23" ht="14.5">
      <c r="A26" s="22">
        <v>19</v>
      </c>
      <c r="B26" s="22">
        <f>RR!B27</f>
        <v>0</v>
      </c>
      <c r="C26" s="22">
        <f>RR!C27</f>
        <v>0</v>
      </c>
      <c r="D26" s="45" t="str">
        <f>RR!D27</f>
        <v>MUHAMMAD MA'RUF ADI NUGRAHA</v>
      </c>
      <c r="E26" s="46" t="str">
        <f>RR!F27</f>
        <v>X TKR 1</v>
      </c>
      <c r="F26" s="25">
        <v>78</v>
      </c>
      <c r="G26" s="25">
        <v>80</v>
      </c>
      <c r="H26" s="25">
        <v>83</v>
      </c>
      <c r="I26" s="25">
        <v>80</v>
      </c>
      <c r="J26" s="25">
        <v>79</v>
      </c>
      <c r="K26" s="25">
        <v>80</v>
      </c>
      <c r="L26" s="25">
        <v>80</v>
      </c>
      <c r="M26" s="25">
        <v>78</v>
      </c>
      <c r="N26" s="25">
        <v>78</v>
      </c>
      <c r="O26" s="25">
        <v>78</v>
      </c>
      <c r="P26" s="25">
        <v>78</v>
      </c>
      <c r="Q26" s="25">
        <v>83</v>
      </c>
      <c r="R26" s="25">
        <v>85</v>
      </c>
      <c r="S26" s="25">
        <v>80</v>
      </c>
      <c r="T26" s="25">
        <v>80</v>
      </c>
      <c r="U26" s="47">
        <f t="shared" si="0"/>
        <v>80</v>
      </c>
      <c r="V26" s="47">
        <f t="shared" si="1"/>
        <v>85</v>
      </c>
      <c r="W26" s="47">
        <f t="shared" si="2"/>
        <v>78</v>
      </c>
    </row>
    <row r="27" spans="1:23" ht="14.5">
      <c r="A27" s="22">
        <v>20</v>
      </c>
      <c r="B27" s="22">
        <f>RR!B28</f>
        <v>0</v>
      </c>
      <c r="C27" s="22">
        <f>RR!C28</f>
        <v>0</v>
      </c>
      <c r="D27" s="45" t="str">
        <f>RR!D28</f>
        <v>MUHAMMAD RIDHO MAULUDDIN</v>
      </c>
      <c r="E27" s="46" t="str">
        <f>RR!F28</f>
        <v>X TKR 1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47">
        <f t="shared" si="0"/>
        <v>0</v>
      </c>
      <c r="V27" s="47">
        <f t="shared" si="1"/>
        <v>0</v>
      </c>
      <c r="W27" s="47">
        <f t="shared" si="2"/>
        <v>0</v>
      </c>
    </row>
    <row r="28" spans="1:23" ht="14.5">
      <c r="A28" s="22">
        <v>21</v>
      </c>
      <c r="B28" s="22">
        <f>RR!B29</f>
        <v>0</v>
      </c>
      <c r="C28" s="22">
        <f>RR!C29</f>
        <v>0</v>
      </c>
      <c r="D28" s="45" t="str">
        <f>RR!D29</f>
        <v>MUKHAMMAD ILHAM WIDIANTO</v>
      </c>
      <c r="E28" s="46" t="str">
        <f>RR!F29</f>
        <v>X TKR 1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47">
        <f t="shared" si="0"/>
        <v>0</v>
      </c>
      <c r="V28" s="47">
        <f t="shared" si="1"/>
        <v>0</v>
      </c>
      <c r="W28" s="47">
        <f t="shared" si="2"/>
        <v>0</v>
      </c>
    </row>
    <row r="29" spans="1:23" ht="14.5">
      <c r="A29" s="22">
        <v>22</v>
      </c>
      <c r="B29" s="22">
        <f>RR!B30</f>
        <v>0</v>
      </c>
      <c r="C29" s="22">
        <f>RR!C30</f>
        <v>0</v>
      </c>
      <c r="D29" s="45" t="str">
        <f>RR!D30</f>
        <v>PANDU WAHYUDA ARIS HERMAWAN</v>
      </c>
      <c r="E29" s="46" t="str">
        <f>RR!F30</f>
        <v>X TKR 1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47">
        <f t="shared" si="0"/>
        <v>0</v>
      </c>
      <c r="V29" s="47">
        <f t="shared" si="1"/>
        <v>0</v>
      </c>
      <c r="W29" s="47">
        <f t="shared" si="2"/>
        <v>0</v>
      </c>
    </row>
    <row r="30" spans="1:23" ht="14.5">
      <c r="A30" s="22">
        <v>23</v>
      </c>
      <c r="B30" s="22">
        <f>RR!B31</f>
        <v>0</v>
      </c>
      <c r="C30" s="22">
        <f>RR!C31</f>
        <v>0</v>
      </c>
      <c r="D30" s="45" t="str">
        <f>RR!D31</f>
        <v>PUTRA DWI REVANO</v>
      </c>
      <c r="E30" s="46" t="str">
        <f>RR!F31</f>
        <v>X TKR 1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47">
        <f t="shared" si="0"/>
        <v>0</v>
      </c>
      <c r="V30" s="47">
        <f t="shared" si="1"/>
        <v>0</v>
      </c>
      <c r="W30" s="47">
        <f t="shared" si="2"/>
        <v>0</v>
      </c>
    </row>
    <row r="31" spans="1:23" ht="14.5">
      <c r="A31" s="22">
        <v>24</v>
      </c>
      <c r="B31" s="22">
        <f>RR!B32</f>
        <v>0</v>
      </c>
      <c r="C31" s="22">
        <f>RR!C32</f>
        <v>0</v>
      </c>
      <c r="D31" s="45" t="str">
        <f>RR!D32</f>
        <v>RAFA ARDIANSYAH</v>
      </c>
      <c r="E31" s="46" t="str">
        <f>RR!F32</f>
        <v>X TKR 1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47">
        <f t="shared" si="0"/>
        <v>0</v>
      </c>
      <c r="V31" s="47">
        <f t="shared" si="1"/>
        <v>0</v>
      </c>
      <c r="W31" s="47">
        <f t="shared" si="2"/>
        <v>0</v>
      </c>
    </row>
    <row r="32" spans="1:23" ht="14.5">
      <c r="A32" s="22">
        <v>25</v>
      </c>
      <c r="B32" s="22">
        <f>RR!B33</f>
        <v>0</v>
      </c>
      <c r="C32" s="22">
        <f>RR!C33</f>
        <v>0</v>
      </c>
      <c r="D32" s="45" t="str">
        <f>RR!D33</f>
        <v>RAGIL ROSYID NUR RIDHO</v>
      </c>
      <c r="E32" s="46" t="str">
        <f>RR!F33</f>
        <v>X TKR 1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47">
        <f t="shared" si="0"/>
        <v>0</v>
      </c>
      <c r="V32" s="47">
        <f t="shared" si="1"/>
        <v>0</v>
      </c>
      <c r="W32" s="47">
        <f t="shared" si="2"/>
        <v>0</v>
      </c>
    </row>
    <row r="33" spans="1:23" ht="14.5">
      <c r="A33" s="22">
        <v>26</v>
      </c>
      <c r="B33" s="22">
        <f>RR!B34</f>
        <v>0</v>
      </c>
      <c r="C33" s="22">
        <f>RR!C34</f>
        <v>0</v>
      </c>
      <c r="D33" s="45" t="str">
        <f>RR!D34</f>
        <v>RANGGA SAHPUTRA ADI PRATAMA</v>
      </c>
      <c r="E33" s="46" t="str">
        <f>RR!F34</f>
        <v>X TKR 1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47">
        <f t="shared" si="0"/>
        <v>0</v>
      </c>
      <c r="V33" s="47">
        <f t="shared" si="1"/>
        <v>0</v>
      </c>
      <c r="W33" s="47">
        <f t="shared" si="2"/>
        <v>0</v>
      </c>
    </row>
    <row r="34" spans="1:23" ht="14.5">
      <c r="A34" s="22">
        <v>27</v>
      </c>
      <c r="B34" s="22">
        <f>RR!B35</f>
        <v>0</v>
      </c>
      <c r="C34" s="22">
        <f>RR!C35</f>
        <v>0</v>
      </c>
      <c r="D34" s="45" t="str">
        <f>RR!D35</f>
        <v>RIFQI AL GHIFFARI ZAIDAN ZUHDI</v>
      </c>
      <c r="E34" s="46" t="str">
        <f>RR!F35</f>
        <v>X TKR 1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47">
        <f t="shared" si="0"/>
        <v>0</v>
      </c>
      <c r="V34" s="47">
        <f t="shared" si="1"/>
        <v>0</v>
      </c>
      <c r="W34" s="47">
        <f t="shared" si="2"/>
        <v>0</v>
      </c>
    </row>
    <row r="35" spans="1:23" ht="14.5">
      <c r="A35" s="22">
        <v>28</v>
      </c>
      <c r="B35" s="22">
        <f>RR!B36</f>
        <v>0</v>
      </c>
      <c r="C35" s="22">
        <f>RR!C36</f>
        <v>0</v>
      </c>
      <c r="D35" s="45" t="str">
        <f>RR!D36</f>
        <v>SAPUTRA DWI ERLANGGA</v>
      </c>
      <c r="E35" s="46" t="str">
        <f>RR!F36</f>
        <v>X TKR 1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47">
        <f t="shared" si="0"/>
        <v>0</v>
      </c>
      <c r="V35" s="47">
        <f t="shared" si="1"/>
        <v>0</v>
      </c>
      <c r="W35" s="47">
        <f t="shared" si="2"/>
        <v>0</v>
      </c>
    </row>
    <row r="36" spans="1:23" ht="14.5">
      <c r="A36" s="22">
        <v>29</v>
      </c>
      <c r="B36" s="22">
        <f>RR!B37</f>
        <v>0</v>
      </c>
      <c r="C36" s="22">
        <f>RR!C37</f>
        <v>0</v>
      </c>
      <c r="D36" s="45" t="str">
        <f>RR!D37</f>
        <v>SHANDY SETYA PRAYOGA</v>
      </c>
      <c r="E36" s="46" t="str">
        <f>RR!F37</f>
        <v>X TKR 1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47">
        <f t="shared" si="0"/>
        <v>0</v>
      </c>
      <c r="V36" s="47">
        <f t="shared" si="1"/>
        <v>0</v>
      </c>
      <c r="W36" s="47">
        <f t="shared" si="2"/>
        <v>0</v>
      </c>
    </row>
    <row r="37" spans="1:23" ht="14.5">
      <c r="A37" s="22">
        <v>30</v>
      </c>
      <c r="B37" s="22">
        <f>RR!B38</f>
        <v>0</v>
      </c>
      <c r="C37" s="22">
        <f>RR!C38</f>
        <v>0</v>
      </c>
      <c r="D37" s="45" t="str">
        <f>RR!D38</f>
        <v>TIO ANDIKA EKO SAPUTRA</v>
      </c>
      <c r="E37" s="46" t="str">
        <f>RR!F38</f>
        <v>X TKR 1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47">
        <f t="shared" si="0"/>
        <v>0</v>
      </c>
      <c r="V37" s="47">
        <f t="shared" si="1"/>
        <v>0</v>
      </c>
      <c r="W37" s="47">
        <f t="shared" si="2"/>
        <v>0</v>
      </c>
    </row>
    <row r="38" spans="1:23" ht="14.5">
      <c r="A38" s="22">
        <v>31</v>
      </c>
      <c r="B38" s="22">
        <f>RR!B39</f>
        <v>0</v>
      </c>
      <c r="C38" s="22">
        <f>RR!C39</f>
        <v>0</v>
      </c>
      <c r="D38" s="45" t="str">
        <f>RR!D39</f>
        <v>WIBHY EVAN RAMADHAN</v>
      </c>
      <c r="E38" s="46" t="str">
        <f>RR!F39</f>
        <v>X TKR 1</v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47">
        <f t="shared" si="0"/>
        <v>0</v>
      </c>
      <c r="V38" s="47">
        <f t="shared" si="1"/>
        <v>0</v>
      </c>
      <c r="W38" s="47">
        <f t="shared" si="2"/>
        <v>0</v>
      </c>
    </row>
    <row r="39" spans="1:23" ht="14.5">
      <c r="A39" s="22">
        <v>32</v>
      </c>
      <c r="B39" s="22">
        <f>RR!B40</f>
        <v>0</v>
      </c>
      <c r="C39" s="22">
        <f>RR!C40</f>
        <v>0</v>
      </c>
      <c r="D39" s="45" t="str">
        <f>RR!D40</f>
        <v>ZAKKI FAJAR ANANTA</v>
      </c>
      <c r="E39" s="46" t="str">
        <f>RR!F40</f>
        <v>X TKR 1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47">
        <f t="shared" si="0"/>
        <v>0</v>
      </c>
      <c r="V39" s="47">
        <f t="shared" si="1"/>
        <v>0</v>
      </c>
      <c r="W39" s="47">
        <f t="shared" si="2"/>
        <v>0</v>
      </c>
    </row>
    <row r="40" spans="1:23" ht="14.5">
      <c r="A40" s="22">
        <v>33</v>
      </c>
      <c r="B40" s="22">
        <f>RR!B41</f>
        <v>0</v>
      </c>
      <c r="C40" s="22">
        <f>RR!C41</f>
        <v>0</v>
      </c>
      <c r="D40" s="45">
        <f>RR!D41</f>
        <v>0</v>
      </c>
      <c r="E40" s="46">
        <f>RR!F41</f>
        <v>0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47">
        <f t="shared" si="0"/>
        <v>0</v>
      </c>
      <c r="V40" s="47">
        <f t="shared" si="1"/>
        <v>0</v>
      </c>
      <c r="W40" s="47">
        <f t="shared" si="2"/>
        <v>0</v>
      </c>
    </row>
    <row r="41" spans="1:23" ht="14.5">
      <c r="A41" s="22">
        <v>34</v>
      </c>
      <c r="B41" s="22">
        <f>RR!B42</f>
        <v>0</v>
      </c>
      <c r="C41" s="22">
        <f>RR!C42</f>
        <v>0</v>
      </c>
      <c r="D41" s="45">
        <f>RR!D42</f>
        <v>0</v>
      </c>
      <c r="E41" s="46">
        <f>RR!F42</f>
        <v>0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47">
        <f t="shared" si="0"/>
        <v>0</v>
      </c>
      <c r="V41" s="47">
        <f t="shared" si="1"/>
        <v>0</v>
      </c>
      <c r="W41" s="47">
        <f t="shared" si="2"/>
        <v>0</v>
      </c>
    </row>
    <row r="42" spans="1:23" ht="14.5">
      <c r="A42" s="22">
        <v>35</v>
      </c>
      <c r="B42" s="22">
        <f>RR!B43</f>
        <v>0</v>
      </c>
      <c r="C42" s="22">
        <f>RR!C43</f>
        <v>0</v>
      </c>
      <c r="D42" s="45">
        <f>RR!D43</f>
        <v>0</v>
      </c>
      <c r="E42" s="46">
        <f>RR!F43</f>
        <v>0</v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47">
        <f t="shared" si="0"/>
        <v>0</v>
      </c>
      <c r="V42" s="47">
        <f t="shared" si="1"/>
        <v>0</v>
      </c>
      <c r="W42" s="47">
        <f t="shared" si="2"/>
        <v>0</v>
      </c>
    </row>
    <row r="43" spans="1:23" ht="14.5">
      <c r="A43" s="22">
        <v>36</v>
      </c>
      <c r="B43" s="22">
        <f>RR!B44</f>
        <v>0</v>
      </c>
      <c r="C43" s="22">
        <f>RR!C44</f>
        <v>0</v>
      </c>
      <c r="D43" s="45">
        <f>RR!D44</f>
        <v>0</v>
      </c>
      <c r="E43" s="46">
        <f>RR!F44</f>
        <v>0</v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47">
        <f t="shared" si="0"/>
        <v>0</v>
      </c>
      <c r="V43" s="47">
        <f t="shared" si="1"/>
        <v>0</v>
      </c>
      <c r="W43" s="47">
        <f t="shared" si="2"/>
        <v>0</v>
      </c>
    </row>
    <row r="44" spans="1:23" ht="14.5">
      <c r="A44" s="22">
        <v>37</v>
      </c>
      <c r="B44" s="22">
        <f>RR!B45</f>
        <v>0</v>
      </c>
      <c r="C44" s="22">
        <f>RR!C45</f>
        <v>0</v>
      </c>
      <c r="D44" s="45">
        <f>RR!D45</f>
        <v>0</v>
      </c>
      <c r="E44" s="46">
        <f>RR!F45</f>
        <v>0</v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47">
        <f t="shared" si="0"/>
        <v>0</v>
      </c>
      <c r="V44" s="47">
        <f t="shared" si="1"/>
        <v>0</v>
      </c>
      <c r="W44" s="47">
        <f t="shared" si="2"/>
        <v>0</v>
      </c>
    </row>
    <row r="45" spans="1:23" ht="14.5">
      <c r="A45" s="22">
        <v>38</v>
      </c>
      <c r="B45" s="22">
        <f>RR!B46</f>
        <v>0</v>
      </c>
      <c r="C45" s="22">
        <f>RR!C46</f>
        <v>0</v>
      </c>
      <c r="D45" s="45">
        <f>RR!D46</f>
        <v>0</v>
      </c>
      <c r="E45" s="46">
        <f>RR!F46</f>
        <v>0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47">
        <f t="shared" si="0"/>
        <v>0</v>
      </c>
      <c r="V45" s="47">
        <f t="shared" si="1"/>
        <v>0</v>
      </c>
      <c r="W45" s="47">
        <f t="shared" si="2"/>
        <v>0</v>
      </c>
    </row>
    <row r="46" spans="1:23" ht="14.5">
      <c r="A46" s="22">
        <v>39</v>
      </c>
      <c r="B46" s="22">
        <f>RR!B47</f>
        <v>0</v>
      </c>
      <c r="C46" s="22">
        <f>RR!C47</f>
        <v>0</v>
      </c>
      <c r="D46" s="45">
        <f>RR!D47</f>
        <v>0</v>
      </c>
      <c r="E46" s="46">
        <f>RR!F47</f>
        <v>0</v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47">
        <f t="shared" si="0"/>
        <v>0</v>
      </c>
      <c r="V46" s="47">
        <f t="shared" si="1"/>
        <v>0</v>
      </c>
      <c r="W46" s="47">
        <f t="shared" si="2"/>
        <v>0</v>
      </c>
    </row>
    <row r="47" spans="1:23" ht="14.5">
      <c r="A47" s="22">
        <v>40</v>
      </c>
      <c r="B47" s="22">
        <f>RR!B48</f>
        <v>0</v>
      </c>
      <c r="C47" s="22">
        <f>RR!C48</f>
        <v>0</v>
      </c>
      <c r="D47" s="45">
        <f>RR!D48</f>
        <v>0</v>
      </c>
      <c r="E47" s="46">
        <f>RR!F48</f>
        <v>0</v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47">
        <f t="shared" si="0"/>
        <v>0</v>
      </c>
      <c r="V47" s="47">
        <f t="shared" si="1"/>
        <v>0</v>
      </c>
      <c r="W47" s="47">
        <f t="shared" si="2"/>
        <v>0</v>
      </c>
    </row>
    <row r="48" spans="1:23" ht="18.5">
      <c r="A48" s="175" t="s">
        <v>89</v>
      </c>
      <c r="B48" s="150"/>
      <c r="C48" s="150"/>
      <c r="D48" s="48" t="s">
        <v>90</v>
      </c>
      <c r="E48" s="176" t="s">
        <v>91</v>
      </c>
      <c r="F48" s="49">
        <f>COUNTIFS($F$8:$F$47,"&gt;=91",$F$8:$F$47,"&lt;=100")</f>
        <v>1</v>
      </c>
      <c r="G48" s="49">
        <f t="shared" ref="G48:W48" si="3">COUNTIFS(G$8:G$47,"&gt;=91",G$8:G$47,"&lt;=100")</f>
        <v>0</v>
      </c>
      <c r="H48" s="49">
        <f t="shared" si="3"/>
        <v>0</v>
      </c>
      <c r="I48" s="49">
        <f t="shared" si="3"/>
        <v>0</v>
      </c>
      <c r="J48" s="49">
        <f t="shared" si="3"/>
        <v>1</v>
      </c>
      <c r="K48" s="49">
        <f t="shared" si="3"/>
        <v>1</v>
      </c>
      <c r="L48" s="49">
        <f t="shared" si="3"/>
        <v>0</v>
      </c>
      <c r="M48" s="49">
        <f t="shared" si="3"/>
        <v>1</v>
      </c>
      <c r="N48" s="49">
        <f t="shared" si="3"/>
        <v>0</v>
      </c>
      <c r="O48" s="49">
        <f t="shared" si="3"/>
        <v>0</v>
      </c>
      <c r="P48" s="49">
        <f t="shared" si="3"/>
        <v>1</v>
      </c>
      <c r="Q48" s="49">
        <f t="shared" si="3"/>
        <v>0</v>
      </c>
      <c r="R48" s="49">
        <f t="shared" si="3"/>
        <v>0</v>
      </c>
      <c r="S48" s="49">
        <f t="shared" si="3"/>
        <v>1</v>
      </c>
      <c r="T48" s="49">
        <f t="shared" si="3"/>
        <v>1</v>
      </c>
      <c r="U48" s="49">
        <f t="shared" si="3"/>
        <v>1</v>
      </c>
      <c r="V48" s="49">
        <f t="shared" si="3"/>
        <v>1</v>
      </c>
      <c r="W48" s="49">
        <f t="shared" si="3"/>
        <v>0</v>
      </c>
    </row>
    <row r="49" spans="1:23" ht="18.5">
      <c r="A49" s="150"/>
      <c r="B49" s="150"/>
      <c r="C49" s="150"/>
      <c r="D49" s="48" t="s">
        <v>92</v>
      </c>
      <c r="E49" s="150"/>
      <c r="F49" s="49">
        <f>COUNTIFS($F$8:$F$47,"&gt;=81",$F$8:$F$47,"&lt;=90")</f>
        <v>10</v>
      </c>
      <c r="G49" s="49">
        <f t="shared" ref="G49:W49" si="4">COUNTIFS(G$8:G$47,"&gt;=81",G$8:G$47,"&lt;=90")</f>
        <v>6</v>
      </c>
      <c r="H49" s="49">
        <f t="shared" si="4"/>
        <v>11</v>
      </c>
      <c r="I49" s="49">
        <f t="shared" si="4"/>
        <v>6</v>
      </c>
      <c r="J49" s="49">
        <f t="shared" si="4"/>
        <v>10</v>
      </c>
      <c r="K49" s="49">
        <f t="shared" si="4"/>
        <v>13</v>
      </c>
      <c r="L49" s="49">
        <f t="shared" si="4"/>
        <v>6</v>
      </c>
      <c r="M49" s="49">
        <f t="shared" si="4"/>
        <v>10</v>
      </c>
      <c r="N49" s="49">
        <f t="shared" si="4"/>
        <v>4</v>
      </c>
      <c r="O49" s="49">
        <f t="shared" si="4"/>
        <v>12</v>
      </c>
      <c r="P49" s="49">
        <f t="shared" si="4"/>
        <v>6</v>
      </c>
      <c r="Q49" s="49">
        <f t="shared" si="4"/>
        <v>18</v>
      </c>
      <c r="R49" s="49">
        <f t="shared" si="4"/>
        <v>18</v>
      </c>
      <c r="S49" s="49">
        <f t="shared" si="4"/>
        <v>12</v>
      </c>
      <c r="T49" s="49">
        <f t="shared" si="4"/>
        <v>12</v>
      </c>
      <c r="U49" s="49">
        <f t="shared" si="4"/>
        <v>13</v>
      </c>
      <c r="V49" s="49">
        <f t="shared" si="4"/>
        <v>18</v>
      </c>
      <c r="W49" s="49">
        <f t="shared" si="4"/>
        <v>2</v>
      </c>
    </row>
    <row r="50" spans="1:23" ht="18.5">
      <c r="A50" s="150"/>
      <c r="B50" s="150"/>
      <c r="C50" s="150"/>
      <c r="D50" s="48" t="s">
        <v>93</v>
      </c>
      <c r="E50" s="150"/>
      <c r="F50" s="49">
        <f t="shared" ref="F50:W50" si="5">COUNTIFS(F$8:F$47,"&gt;=71",F$8:F$47,"&lt;=80")</f>
        <v>8</v>
      </c>
      <c r="G50" s="49">
        <f t="shared" si="5"/>
        <v>13</v>
      </c>
      <c r="H50" s="49">
        <f t="shared" si="5"/>
        <v>8</v>
      </c>
      <c r="I50" s="49">
        <f t="shared" si="5"/>
        <v>13</v>
      </c>
      <c r="J50" s="49">
        <f t="shared" si="5"/>
        <v>8</v>
      </c>
      <c r="K50" s="49">
        <f t="shared" si="5"/>
        <v>5</v>
      </c>
      <c r="L50" s="49">
        <f t="shared" si="5"/>
        <v>13</v>
      </c>
      <c r="M50" s="49">
        <f t="shared" si="5"/>
        <v>8</v>
      </c>
      <c r="N50" s="49">
        <f t="shared" si="5"/>
        <v>15</v>
      </c>
      <c r="O50" s="49">
        <f t="shared" si="5"/>
        <v>7</v>
      </c>
      <c r="P50" s="49">
        <f t="shared" si="5"/>
        <v>12</v>
      </c>
      <c r="Q50" s="49">
        <f t="shared" si="5"/>
        <v>1</v>
      </c>
      <c r="R50" s="49">
        <f t="shared" si="5"/>
        <v>1</v>
      </c>
      <c r="S50" s="49">
        <f t="shared" si="5"/>
        <v>6</v>
      </c>
      <c r="T50" s="49">
        <f t="shared" si="5"/>
        <v>6</v>
      </c>
      <c r="U50" s="49">
        <f t="shared" si="5"/>
        <v>3</v>
      </c>
      <c r="V50" s="49">
        <f t="shared" si="5"/>
        <v>0</v>
      </c>
      <c r="W50" s="49">
        <f t="shared" si="5"/>
        <v>17</v>
      </c>
    </row>
    <row r="51" spans="1:23" ht="18.5">
      <c r="A51" s="150"/>
      <c r="B51" s="150"/>
      <c r="C51" s="150"/>
      <c r="D51" s="50" t="s">
        <v>94</v>
      </c>
      <c r="E51" s="150"/>
      <c r="F51" s="51">
        <f t="shared" ref="F51:W51" si="6">COUNTIFS(F$8:F$47,"&gt;=61",F$8:F$47,"&lt;=70")</f>
        <v>0</v>
      </c>
      <c r="G51" s="51">
        <f t="shared" si="6"/>
        <v>0</v>
      </c>
      <c r="H51" s="51">
        <f t="shared" si="6"/>
        <v>0</v>
      </c>
      <c r="I51" s="51">
        <f t="shared" si="6"/>
        <v>0</v>
      </c>
      <c r="J51" s="51">
        <f t="shared" si="6"/>
        <v>0</v>
      </c>
      <c r="K51" s="51">
        <f t="shared" si="6"/>
        <v>0</v>
      </c>
      <c r="L51" s="51">
        <f t="shared" si="6"/>
        <v>0</v>
      </c>
      <c r="M51" s="51">
        <f t="shared" si="6"/>
        <v>0</v>
      </c>
      <c r="N51" s="51">
        <f t="shared" si="6"/>
        <v>0</v>
      </c>
      <c r="O51" s="51">
        <f t="shared" si="6"/>
        <v>0</v>
      </c>
      <c r="P51" s="51">
        <f t="shared" si="6"/>
        <v>0</v>
      </c>
      <c r="Q51" s="51">
        <f t="shared" si="6"/>
        <v>0</v>
      </c>
      <c r="R51" s="51">
        <f t="shared" si="6"/>
        <v>0</v>
      </c>
      <c r="S51" s="51">
        <f t="shared" si="6"/>
        <v>0</v>
      </c>
      <c r="T51" s="51">
        <f t="shared" si="6"/>
        <v>0</v>
      </c>
      <c r="U51" s="51">
        <f t="shared" si="6"/>
        <v>0</v>
      </c>
      <c r="V51" s="51">
        <f t="shared" si="6"/>
        <v>0</v>
      </c>
      <c r="W51" s="51">
        <f t="shared" si="6"/>
        <v>0</v>
      </c>
    </row>
    <row r="52" spans="1:23" ht="18.5">
      <c r="A52" s="150"/>
      <c r="B52" s="150"/>
      <c r="C52" s="150"/>
      <c r="D52" s="50" t="s">
        <v>95</v>
      </c>
      <c r="E52" s="150"/>
      <c r="F52" s="51">
        <f t="shared" ref="F52:W52" si="7">COUNTIFS(F$8:F$47,"&gt;=51",F$8:F$47,"&lt;=60")</f>
        <v>0</v>
      </c>
      <c r="G52" s="51">
        <f t="shared" si="7"/>
        <v>0</v>
      </c>
      <c r="H52" s="51">
        <f t="shared" si="7"/>
        <v>0</v>
      </c>
      <c r="I52" s="51">
        <f t="shared" si="7"/>
        <v>0</v>
      </c>
      <c r="J52" s="51">
        <f t="shared" si="7"/>
        <v>0</v>
      </c>
      <c r="K52" s="51">
        <f t="shared" si="7"/>
        <v>0</v>
      </c>
      <c r="L52" s="51">
        <f t="shared" si="7"/>
        <v>0</v>
      </c>
      <c r="M52" s="51">
        <f t="shared" si="7"/>
        <v>0</v>
      </c>
      <c r="N52" s="51">
        <f t="shared" si="7"/>
        <v>0</v>
      </c>
      <c r="O52" s="51">
        <f t="shared" si="7"/>
        <v>0</v>
      </c>
      <c r="P52" s="51">
        <f t="shared" si="7"/>
        <v>0</v>
      </c>
      <c r="Q52" s="51">
        <f t="shared" si="7"/>
        <v>0</v>
      </c>
      <c r="R52" s="51">
        <f t="shared" si="7"/>
        <v>0</v>
      </c>
      <c r="S52" s="51">
        <f t="shared" si="7"/>
        <v>0</v>
      </c>
      <c r="T52" s="51">
        <f t="shared" si="7"/>
        <v>0</v>
      </c>
      <c r="U52" s="51">
        <f t="shared" si="7"/>
        <v>0</v>
      </c>
      <c r="V52" s="51">
        <f t="shared" si="7"/>
        <v>0</v>
      </c>
      <c r="W52" s="51">
        <f t="shared" si="7"/>
        <v>0</v>
      </c>
    </row>
    <row r="53" spans="1:23" ht="18.5">
      <c r="A53" s="150"/>
      <c r="B53" s="150"/>
      <c r="C53" s="150"/>
      <c r="D53" s="50" t="s">
        <v>96</v>
      </c>
      <c r="E53" s="150"/>
      <c r="F53" s="51">
        <f t="shared" ref="F53:W53" si="8">COUNTIFS(F$8:F$47,"&gt;=41",F$8:F$47,"&lt;=50")</f>
        <v>0</v>
      </c>
      <c r="G53" s="51">
        <f t="shared" si="8"/>
        <v>0</v>
      </c>
      <c r="H53" s="51">
        <f t="shared" si="8"/>
        <v>0</v>
      </c>
      <c r="I53" s="51">
        <f t="shared" si="8"/>
        <v>0</v>
      </c>
      <c r="J53" s="51">
        <f t="shared" si="8"/>
        <v>0</v>
      </c>
      <c r="K53" s="51">
        <f t="shared" si="8"/>
        <v>0</v>
      </c>
      <c r="L53" s="51">
        <f t="shared" si="8"/>
        <v>0</v>
      </c>
      <c r="M53" s="51">
        <f t="shared" si="8"/>
        <v>0</v>
      </c>
      <c r="N53" s="51">
        <f t="shared" si="8"/>
        <v>0</v>
      </c>
      <c r="O53" s="51">
        <f t="shared" si="8"/>
        <v>0</v>
      </c>
      <c r="P53" s="51">
        <f t="shared" si="8"/>
        <v>0</v>
      </c>
      <c r="Q53" s="51">
        <f t="shared" si="8"/>
        <v>0</v>
      </c>
      <c r="R53" s="51">
        <f t="shared" si="8"/>
        <v>0</v>
      </c>
      <c r="S53" s="51">
        <f t="shared" si="8"/>
        <v>0</v>
      </c>
      <c r="T53" s="51">
        <f t="shared" si="8"/>
        <v>0</v>
      </c>
      <c r="U53" s="51">
        <f t="shared" si="8"/>
        <v>0</v>
      </c>
      <c r="V53" s="51">
        <f t="shared" si="8"/>
        <v>0</v>
      </c>
      <c r="W53" s="51">
        <f t="shared" si="8"/>
        <v>0</v>
      </c>
    </row>
    <row r="54" spans="1:23" ht="18.5">
      <c r="A54" s="150"/>
      <c r="B54" s="150"/>
      <c r="C54" s="150"/>
      <c r="D54" s="52" t="s">
        <v>97</v>
      </c>
      <c r="E54" s="150"/>
      <c r="F54" s="53">
        <f t="shared" ref="F54:W54" si="9">COUNTIFS(F$8:F$47,"&gt;=31",F$8:F$47,"&lt;=40")</f>
        <v>0</v>
      </c>
      <c r="G54" s="53">
        <f t="shared" si="9"/>
        <v>0</v>
      </c>
      <c r="H54" s="53">
        <f t="shared" si="9"/>
        <v>0</v>
      </c>
      <c r="I54" s="53">
        <f t="shared" si="9"/>
        <v>0</v>
      </c>
      <c r="J54" s="53">
        <f t="shared" si="9"/>
        <v>0</v>
      </c>
      <c r="K54" s="53">
        <f t="shared" si="9"/>
        <v>0</v>
      </c>
      <c r="L54" s="53">
        <f t="shared" si="9"/>
        <v>0</v>
      </c>
      <c r="M54" s="53">
        <f t="shared" si="9"/>
        <v>0</v>
      </c>
      <c r="N54" s="53">
        <f t="shared" si="9"/>
        <v>0</v>
      </c>
      <c r="O54" s="53">
        <f t="shared" si="9"/>
        <v>0</v>
      </c>
      <c r="P54" s="53">
        <f t="shared" si="9"/>
        <v>0</v>
      </c>
      <c r="Q54" s="53">
        <f t="shared" si="9"/>
        <v>0</v>
      </c>
      <c r="R54" s="53">
        <f t="shared" si="9"/>
        <v>0</v>
      </c>
      <c r="S54" s="53">
        <f t="shared" si="9"/>
        <v>0</v>
      </c>
      <c r="T54" s="53">
        <f t="shared" si="9"/>
        <v>0</v>
      </c>
      <c r="U54" s="53">
        <f t="shared" si="9"/>
        <v>0</v>
      </c>
      <c r="V54" s="53">
        <f t="shared" si="9"/>
        <v>0</v>
      </c>
      <c r="W54" s="53">
        <f t="shared" si="9"/>
        <v>0</v>
      </c>
    </row>
    <row r="55" spans="1:23" ht="18.5">
      <c r="A55" s="150"/>
      <c r="B55" s="150"/>
      <c r="C55" s="150"/>
      <c r="D55" s="52" t="s">
        <v>98</v>
      </c>
      <c r="E55" s="150"/>
      <c r="F55" s="53">
        <f t="shared" ref="F55:W55" si="10">COUNTIFS(F$8:F$47,"&gt;=21",F$8:F$47,"&lt;=30")</f>
        <v>0</v>
      </c>
      <c r="G55" s="53">
        <f t="shared" si="10"/>
        <v>0</v>
      </c>
      <c r="H55" s="53">
        <f t="shared" si="10"/>
        <v>0</v>
      </c>
      <c r="I55" s="53">
        <f t="shared" si="10"/>
        <v>0</v>
      </c>
      <c r="J55" s="53">
        <f t="shared" si="10"/>
        <v>0</v>
      </c>
      <c r="K55" s="53">
        <f t="shared" si="10"/>
        <v>0</v>
      </c>
      <c r="L55" s="53">
        <f t="shared" si="10"/>
        <v>0</v>
      </c>
      <c r="M55" s="53">
        <f t="shared" si="10"/>
        <v>0</v>
      </c>
      <c r="N55" s="53">
        <f t="shared" si="10"/>
        <v>0</v>
      </c>
      <c r="O55" s="53">
        <f t="shared" si="10"/>
        <v>0</v>
      </c>
      <c r="P55" s="53">
        <f t="shared" si="10"/>
        <v>0</v>
      </c>
      <c r="Q55" s="53">
        <f t="shared" si="10"/>
        <v>0</v>
      </c>
      <c r="R55" s="53">
        <f t="shared" si="10"/>
        <v>0</v>
      </c>
      <c r="S55" s="53">
        <f t="shared" si="10"/>
        <v>0</v>
      </c>
      <c r="T55" s="53">
        <f t="shared" si="10"/>
        <v>0</v>
      </c>
      <c r="U55" s="53">
        <f t="shared" si="10"/>
        <v>0</v>
      </c>
      <c r="V55" s="53">
        <f t="shared" si="10"/>
        <v>0</v>
      </c>
      <c r="W55" s="53">
        <f t="shared" si="10"/>
        <v>0</v>
      </c>
    </row>
    <row r="56" spans="1:23" ht="18.5">
      <c r="A56" s="150"/>
      <c r="B56" s="150"/>
      <c r="C56" s="150"/>
      <c r="D56" s="54">
        <v>46346</v>
      </c>
      <c r="E56" s="150"/>
      <c r="F56" s="53">
        <f t="shared" ref="F56:W56" si="11">COUNTIFS(F$8:F$47,"&gt;=11",F$8:F$47,"&lt;=20")</f>
        <v>0</v>
      </c>
      <c r="G56" s="53">
        <f t="shared" si="11"/>
        <v>0</v>
      </c>
      <c r="H56" s="53">
        <f t="shared" si="11"/>
        <v>0</v>
      </c>
      <c r="I56" s="53">
        <f t="shared" si="11"/>
        <v>0</v>
      </c>
      <c r="J56" s="53">
        <f t="shared" si="11"/>
        <v>0</v>
      </c>
      <c r="K56" s="53">
        <f t="shared" si="11"/>
        <v>0</v>
      </c>
      <c r="L56" s="53">
        <f t="shared" si="11"/>
        <v>0</v>
      </c>
      <c r="M56" s="53">
        <f t="shared" si="11"/>
        <v>0</v>
      </c>
      <c r="N56" s="53">
        <f t="shared" si="11"/>
        <v>0</v>
      </c>
      <c r="O56" s="53">
        <f t="shared" si="11"/>
        <v>0</v>
      </c>
      <c r="P56" s="53">
        <f t="shared" si="11"/>
        <v>0</v>
      </c>
      <c r="Q56" s="53">
        <f t="shared" si="11"/>
        <v>0</v>
      </c>
      <c r="R56" s="53">
        <f t="shared" si="11"/>
        <v>0</v>
      </c>
      <c r="S56" s="53">
        <f t="shared" si="11"/>
        <v>0</v>
      </c>
      <c r="T56" s="53">
        <f t="shared" si="11"/>
        <v>0</v>
      </c>
      <c r="U56" s="53">
        <f t="shared" si="11"/>
        <v>0</v>
      </c>
      <c r="V56" s="53">
        <f t="shared" si="11"/>
        <v>0</v>
      </c>
      <c r="W56" s="53">
        <f t="shared" si="11"/>
        <v>0</v>
      </c>
    </row>
    <row r="57" spans="1:23" ht="18.5">
      <c r="A57" s="150"/>
      <c r="B57" s="150"/>
      <c r="C57" s="150"/>
      <c r="D57" s="54">
        <v>46032</v>
      </c>
      <c r="E57" s="150"/>
      <c r="F57" s="53">
        <f t="shared" ref="F57:W57" si="12">COUNTIFS(F$8:F$47,"&gt;=1",F$8:F$47,"&lt;=10")</f>
        <v>0</v>
      </c>
      <c r="G57" s="53">
        <f t="shared" si="12"/>
        <v>0</v>
      </c>
      <c r="H57" s="53">
        <f t="shared" si="12"/>
        <v>0</v>
      </c>
      <c r="I57" s="53">
        <f t="shared" si="12"/>
        <v>0</v>
      </c>
      <c r="J57" s="53">
        <f t="shared" si="12"/>
        <v>0</v>
      </c>
      <c r="K57" s="53">
        <f t="shared" si="12"/>
        <v>0</v>
      </c>
      <c r="L57" s="53">
        <f t="shared" si="12"/>
        <v>0</v>
      </c>
      <c r="M57" s="53">
        <f t="shared" si="12"/>
        <v>0</v>
      </c>
      <c r="N57" s="53">
        <f t="shared" si="12"/>
        <v>0</v>
      </c>
      <c r="O57" s="53">
        <f t="shared" si="12"/>
        <v>0</v>
      </c>
      <c r="P57" s="53">
        <f t="shared" si="12"/>
        <v>0</v>
      </c>
      <c r="Q57" s="53">
        <f t="shared" si="12"/>
        <v>0</v>
      </c>
      <c r="R57" s="53">
        <f t="shared" si="12"/>
        <v>0</v>
      </c>
      <c r="S57" s="53">
        <f t="shared" si="12"/>
        <v>0</v>
      </c>
      <c r="T57" s="53">
        <f t="shared" si="12"/>
        <v>0</v>
      </c>
      <c r="U57" s="53">
        <f t="shared" si="12"/>
        <v>0</v>
      </c>
      <c r="V57" s="53">
        <f t="shared" si="12"/>
        <v>0</v>
      </c>
      <c r="W57" s="53">
        <f t="shared" si="12"/>
        <v>0</v>
      </c>
    </row>
    <row r="58" spans="1:23" ht="18.5">
      <c r="A58" s="150"/>
      <c r="B58" s="150"/>
      <c r="C58" s="150"/>
      <c r="D58" s="177" t="s">
        <v>67</v>
      </c>
      <c r="E58" s="150"/>
      <c r="F58" s="55">
        <f t="shared" ref="F58:W58" si="13">MAX(F$8:F$47)</f>
        <v>99</v>
      </c>
      <c r="G58" s="55">
        <f t="shared" si="13"/>
        <v>89</v>
      </c>
      <c r="H58" s="55">
        <f t="shared" si="13"/>
        <v>88</v>
      </c>
      <c r="I58" s="55">
        <f t="shared" si="13"/>
        <v>90</v>
      </c>
      <c r="J58" s="55">
        <f t="shared" si="13"/>
        <v>94</v>
      </c>
      <c r="K58" s="55">
        <f t="shared" si="13"/>
        <v>91</v>
      </c>
      <c r="L58" s="55">
        <f t="shared" si="13"/>
        <v>90</v>
      </c>
      <c r="M58" s="55">
        <f t="shared" si="13"/>
        <v>91</v>
      </c>
      <c r="N58" s="55">
        <f t="shared" si="13"/>
        <v>90</v>
      </c>
      <c r="O58" s="55">
        <f t="shared" si="13"/>
        <v>90</v>
      </c>
      <c r="P58" s="55">
        <f t="shared" si="13"/>
        <v>93</v>
      </c>
      <c r="Q58" s="55">
        <f t="shared" si="13"/>
        <v>90</v>
      </c>
      <c r="R58" s="55">
        <f t="shared" si="13"/>
        <v>90</v>
      </c>
      <c r="S58" s="55">
        <f t="shared" si="13"/>
        <v>91</v>
      </c>
      <c r="T58" s="55">
        <f t="shared" si="13"/>
        <v>91</v>
      </c>
      <c r="U58" s="55">
        <f t="shared" si="13"/>
        <v>91.13</v>
      </c>
      <c r="V58" s="55">
        <f t="shared" si="13"/>
        <v>99</v>
      </c>
      <c r="W58" s="55">
        <f t="shared" si="13"/>
        <v>88</v>
      </c>
    </row>
    <row r="59" spans="1:23" ht="18.5">
      <c r="A59" s="150"/>
      <c r="B59" s="150"/>
      <c r="C59" s="150"/>
      <c r="D59" s="177" t="s">
        <v>99</v>
      </c>
      <c r="E59" s="150"/>
      <c r="F59" s="55">
        <f t="shared" ref="F59:W59" si="14">MIN(F$8:F$47)</f>
        <v>78</v>
      </c>
      <c r="G59" s="55">
        <f t="shared" si="14"/>
        <v>78</v>
      </c>
      <c r="H59" s="55">
        <f t="shared" si="14"/>
        <v>78</v>
      </c>
      <c r="I59" s="55">
        <f t="shared" si="14"/>
        <v>78</v>
      </c>
      <c r="J59" s="55">
        <f t="shared" si="14"/>
        <v>78</v>
      </c>
      <c r="K59" s="55">
        <f t="shared" si="14"/>
        <v>79</v>
      </c>
      <c r="L59" s="55">
        <f t="shared" si="14"/>
        <v>78</v>
      </c>
      <c r="M59" s="55">
        <f t="shared" si="14"/>
        <v>78</v>
      </c>
      <c r="N59" s="55">
        <f t="shared" si="14"/>
        <v>78</v>
      </c>
      <c r="O59" s="55">
        <f t="shared" si="14"/>
        <v>78</v>
      </c>
      <c r="P59" s="55">
        <f t="shared" si="14"/>
        <v>77</v>
      </c>
      <c r="Q59" s="55">
        <f t="shared" si="14"/>
        <v>80</v>
      </c>
      <c r="R59" s="55">
        <f t="shared" si="14"/>
        <v>80</v>
      </c>
      <c r="S59" s="55">
        <f t="shared" si="14"/>
        <v>78</v>
      </c>
      <c r="T59" s="55">
        <f t="shared" si="14"/>
        <v>78</v>
      </c>
      <c r="U59" s="55">
        <f t="shared" si="14"/>
        <v>0</v>
      </c>
      <c r="V59" s="55">
        <f t="shared" si="14"/>
        <v>0</v>
      </c>
      <c r="W59" s="55">
        <f t="shared" si="14"/>
        <v>0</v>
      </c>
    </row>
    <row r="60" spans="1:23" ht="18.5">
      <c r="A60" s="150"/>
      <c r="B60" s="150"/>
      <c r="C60" s="150"/>
      <c r="D60" s="177" t="s">
        <v>100</v>
      </c>
      <c r="E60" s="150"/>
      <c r="F60" s="55">
        <f t="shared" ref="F60:W60" si="15">IFERROR(ROUND(AVERAGE(F$8:F$47),2),0)</f>
        <v>82.58</v>
      </c>
      <c r="G60" s="55">
        <f t="shared" si="15"/>
        <v>81.319999999999993</v>
      </c>
      <c r="H60" s="55">
        <f t="shared" si="15"/>
        <v>81.58</v>
      </c>
      <c r="I60" s="55">
        <f t="shared" si="15"/>
        <v>80.95</v>
      </c>
      <c r="J60" s="55">
        <f t="shared" si="15"/>
        <v>81.739999999999995</v>
      </c>
      <c r="K60" s="55">
        <f t="shared" si="15"/>
        <v>81.84</v>
      </c>
      <c r="L60" s="55">
        <f t="shared" si="15"/>
        <v>80.95</v>
      </c>
      <c r="M60" s="55">
        <f t="shared" si="15"/>
        <v>83</v>
      </c>
      <c r="N60" s="55">
        <f t="shared" si="15"/>
        <v>80.16</v>
      </c>
      <c r="O60" s="55">
        <f t="shared" si="15"/>
        <v>81.42</v>
      </c>
      <c r="P60" s="55">
        <f t="shared" si="15"/>
        <v>80.739999999999995</v>
      </c>
      <c r="Q60" s="55">
        <f t="shared" si="15"/>
        <v>84.58</v>
      </c>
      <c r="R60" s="55">
        <f t="shared" si="15"/>
        <v>84.95</v>
      </c>
      <c r="S60" s="55">
        <f t="shared" si="15"/>
        <v>83.79</v>
      </c>
      <c r="T60" s="55">
        <f t="shared" si="15"/>
        <v>83.79</v>
      </c>
      <c r="U60" s="55">
        <f t="shared" si="15"/>
        <v>39.06</v>
      </c>
      <c r="V60" s="55">
        <f t="shared" si="15"/>
        <v>41.1</v>
      </c>
      <c r="W60" s="55">
        <f t="shared" si="15"/>
        <v>37.65</v>
      </c>
    </row>
  </sheetData>
  <mergeCells count="30">
    <mergeCell ref="G5:G6"/>
    <mergeCell ref="H5:H6"/>
    <mergeCell ref="I5:I6"/>
    <mergeCell ref="J5:J6"/>
    <mergeCell ref="K5:K6"/>
    <mergeCell ref="L5:L6"/>
    <mergeCell ref="T5:T6"/>
    <mergeCell ref="U5:U7"/>
    <mergeCell ref="V5:V7"/>
    <mergeCell ref="W5:W7"/>
    <mergeCell ref="M5:M6"/>
    <mergeCell ref="N5:N6"/>
    <mergeCell ref="O5:O6"/>
    <mergeCell ref="P5:P6"/>
    <mergeCell ref="Q5:Q6"/>
    <mergeCell ref="R5:R6"/>
    <mergeCell ref="S5:S6"/>
    <mergeCell ref="A48:C60"/>
    <mergeCell ref="E48:E57"/>
    <mergeCell ref="D58:E58"/>
    <mergeCell ref="D59:E59"/>
    <mergeCell ref="D60:E60"/>
    <mergeCell ref="A1:F1"/>
    <mergeCell ref="A2:F2"/>
    <mergeCell ref="A5:A7"/>
    <mergeCell ref="B5:B7"/>
    <mergeCell ref="C5:C7"/>
    <mergeCell ref="D5:D7"/>
    <mergeCell ref="E5:E7"/>
    <mergeCell ref="F5:F6"/>
  </mergeCells>
  <conditionalFormatting sqref="F8:T46">
    <cfRule type="expression" dxfId="5" priority="2">
      <formula>AND(ISNUMBER(G9), F8&lt;75)</formula>
    </cfRule>
  </conditionalFormatting>
  <conditionalFormatting sqref="F8:T47">
    <cfRule type="expression" dxfId="4" priority="1">
      <formula>NOT(ISNUMBER(F8))</formula>
    </cfRule>
  </conditionalFormatting>
  <conditionalFormatting sqref="F47:T47">
    <cfRule type="expression" dxfId="3" priority="10">
      <formula>AND(ISNUMBER(#REF!), F47&lt;75)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  <outlinePr summaryBelow="0" summaryRight="0"/>
  </sheetPr>
  <dimension ref="A1:AE380"/>
  <sheetViews>
    <sheetView topLeftCell="H45" workbookViewId="0">
      <selection activeCell="G103" sqref="A103:XFD103"/>
    </sheetView>
  </sheetViews>
  <sheetFormatPr defaultColWidth="12.6328125" defaultRowHeight="15.75" customHeight="1"/>
  <cols>
    <col min="1" max="1" width="5.08984375" customWidth="1"/>
    <col min="2" max="2" width="12.90625" customWidth="1"/>
    <col min="3" max="3" width="10.26953125" customWidth="1"/>
    <col min="4" max="4" width="28.36328125" customWidth="1"/>
    <col min="5" max="5" width="5.26953125" customWidth="1"/>
    <col min="7" max="22" width="7.6328125" customWidth="1"/>
    <col min="23" max="23" width="7.7265625" customWidth="1"/>
    <col min="24" max="24" width="8.08984375" customWidth="1"/>
    <col min="25" max="25" width="7.08984375" customWidth="1"/>
    <col min="28" max="28" width="24.90625" customWidth="1"/>
    <col min="29" max="29" width="9.08984375" customWidth="1"/>
    <col min="30" max="30" width="10.6328125" customWidth="1"/>
    <col min="31" max="31" width="6" customWidth="1"/>
  </cols>
  <sheetData>
    <row r="1" spans="1:31" ht="15.5">
      <c r="A1" s="183" t="s">
        <v>101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56"/>
      <c r="AB1" s="56"/>
      <c r="AC1" s="56"/>
      <c r="AD1" s="56"/>
      <c r="AE1" s="57"/>
    </row>
    <row r="2" spans="1:31" ht="15.5">
      <c r="A2" s="183" t="s">
        <v>102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56"/>
      <c r="AB2" s="184" t="s">
        <v>103</v>
      </c>
      <c r="AC2" s="58" t="s">
        <v>104</v>
      </c>
      <c r="AD2" s="58" t="s">
        <v>105</v>
      </c>
      <c r="AE2" s="59"/>
    </row>
    <row r="3" spans="1:31" ht="14.5">
      <c r="A3" s="185" t="s">
        <v>2</v>
      </c>
      <c r="B3" s="150"/>
      <c r="C3" s="5"/>
      <c r="D3" s="6" t="str">
        <f>": " &amp; BIODATA!D6</f>
        <v>: Kabupaten Mojokerto</v>
      </c>
      <c r="E3" s="5"/>
      <c r="F3" s="5"/>
      <c r="G3" s="5"/>
      <c r="H3" s="5"/>
      <c r="I3" s="5"/>
      <c r="J3" s="60"/>
      <c r="K3" s="60"/>
      <c r="L3" s="60"/>
      <c r="M3" s="61"/>
      <c r="N3" s="61"/>
      <c r="O3" s="61"/>
      <c r="P3" s="61"/>
      <c r="Q3" s="61"/>
      <c r="R3" s="61"/>
      <c r="S3" s="61"/>
      <c r="T3" s="61"/>
      <c r="U3" s="61"/>
      <c r="V3" s="186" t="s">
        <v>106</v>
      </c>
      <c r="W3" s="150"/>
      <c r="X3" s="150"/>
      <c r="Y3" s="150"/>
      <c r="Z3" s="60"/>
      <c r="AA3" s="56"/>
      <c r="AB3" s="150"/>
      <c r="AC3" s="58">
        <v>50</v>
      </c>
      <c r="AD3" s="58">
        <v>50</v>
      </c>
      <c r="AE3" s="59"/>
    </row>
    <row r="4" spans="1:31" ht="14.5">
      <c r="A4" s="185" t="s">
        <v>107</v>
      </c>
      <c r="B4" s="150"/>
      <c r="C4" s="5"/>
      <c r="D4" s="6" t="str">
        <f>": " &amp; BIODATA!D7</f>
        <v>: SMKS PACET</v>
      </c>
      <c r="E4" s="5"/>
      <c r="F4" s="5"/>
      <c r="G4" s="5"/>
      <c r="H4" s="5"/>
      <c r="I4" s="5"/>
      <c r="J4" s="62"/>
      <c r="K4" s="62"/>
      <c r="L4" s="62"/>
      <c r="M4" s="61"/>
      <c r="N4" s="61"/>
      <c r="O4" s="61"/>
      <c r="P4" s="61"/>
      <c r="Q4" s="61"/>
      <c r="R4" s="61"/>
      <c r="S4" s="61"/>
      <c r="T4" s="61"/>
      <c r="U4" s="61"/>
      <c r="V4" s="186" t="s">
        <v>108</v>
      </c>
      <c r="W4" s="150"/>
      <c r="X4" s="150"/>
      <c r="Y4" s="150"/>
      <c r="Z4" s="150"/>
      <c r="AA4" s="56"/>
      <c r="AB4" s="181" t="s">
        <v>109</v>
      </c>
      <c r="AC4" s="63">
        <f>AC3</f>
        <v>50</v>
      </c>
      <c r="AD4" s="63" t="str">
        <f>"+"</f>
        <v>+</v>
      </c>
      <c r="AE4" s="63">
        <f>AD3</f>
        <v>50</v>
      </c>
    </row>
    <row r="5" spans="1:31" ht="14.5">
      <c r="A5" s="188" t="s">
        <v>110</v>
      </c>
      <c r="B5" s="150"/>
      <c r="C5" s="64"/>
      <c r="D5" s="187" t="str">
        <f>": " &amp; BIODATA!D8</f>
        <v>: Jl. Raya Pacet-Trawas No. 21, Ds. Pacet,Kec. Pacet,Kab. Mojokerto</v>
      </c>
      <c r="E5" s="150"/>
      <c r="F5" s="150"/>
      <c r="G5" s="150"/>
      <c r="H5" s="150"/>
      <c r="I5" s="150"/>
      <c r="J5" s="62"/>
      <c r="K5" s="62"/>
      <c r="L5" s="62"/>
      <c r="M5" s="62"/>
      <c r="N5" s="62"/>
      <c r="O5" s="61"/>
      <c r="P5" s="61"/>
      <c r="Q5" s="61"/>
      <c r="R5" s="61"/>
      <c r="S5" s="61"/>
      <c r="T5" s="61"/>
      <c r="U5" s="61"/>
      <c r="V5" s="61"/>
      <c r="W5" s="60"/>
      <c r="X5" s="60"/>
      <c r="Y5" s="60"/>
      <c r="Z5" s="60"/>
      <c r="AA5" s="56"/>
      <c r="AB5" s="150"/>
      <c r="AC5" s="63"/>
      <c r="AD5" s="63">
        <f>AC4+AE4</f>
        <v>100</v>
      </c>
      <c r="AE5" s="63"/>
    </row>
    <row r="6" spans="1:31" ht="17.25" customHeight="1">
      <c r="A6" s="188" t="s">
        <v>10</v>
      </c>
      <c r="B6" s="150"/>
      <c r="C6" s="64"/>
      <c r="D6" s="65" t="str">
        <f>": " &amp; BIODATA!D12</f>
        <v>: Teknik Kendaraan Ringan</v>
      </c>
      <c r="E6" s="65"/>
      <c r="F6" s="65"/>
      <c r="G6" s="65"/>
      <c r="H6" s="65"/>
      <c r="I6" s="65"/>
      <c r="J6" s="66"/>
      <c r="K6" s="66"/>
      <c r="L6" s="66"/>
      <c r="M6" s="61"/>
      <c r="N6" s="61"/>
      <c r="O6" s="61"/>
      <c r="P6" s="61"/>
      <c r="Q6" s="61"/>
      <c r="R6" s="61"/>
      <c r="S6" s="61"/>
      <c r="T6" s="61"/>
      <c r="U6" s="61"/>
      <c r="V6" s="61"/>
      <c r="W6" s="60"/>
      <c r="X6" s="60"/>
      <c r="Y6" s="60"/>
      <c r="Z6" s="60"/>
      <c r="AA6" s="56"/>
      <c r="AB6" s="182" t="s">
        <v>111</v>
      </c>
      <c r="AC6" s="150"/>
      <c r="AD6" s="56"/>
      <c r="AE6" s="56"/>
    </row>
    <row r="7" spans="1:31" ht="14.5">
      <c r="A7" s="178" t="s">
        <v>112</v>
      </c>
      <c r="B7" s="179" t="s">
        <v>21</v>
      </c>
      <c r="C7" s="179" t="s">
        <v>22</v>
      </c>
      <c r="D7" s="179" t="s">
        <v>113</v>
      </c>
      <c r="E7" s="179" t="s">
        <v>27</v>
      </c>
      <c r="F7" s="178" t="s">
        <v>114</v>
      </c>
      <c r="G7" s="179" t="s">
        <v>115</v>
      </c>
      <c r="H7" s="150"/>
      <c r="I7" s="150"/>
      <c r="J7" s="150"/>
      <c r="K7" s="150"/>
      <c r="L7" s="150"/>
      <c r="M7" s="150"/>
      <c r="N7" s="179" t="s">
        <v>116</v>
      </c>
      <c r="O7" s="150"/>
      <c r="P7" s="150"/>
      <c r="Q7" s="150"/>
      <c r="R7" s="150"/>
      <c r="S7" s="150"/>
      <c r="T7" s="150"/>
      <c r="U7" s="150"/>
      <c r="V7" s="150"/>
      <c r="W7" s="197" t="s">
        <v>117</v>
      </c>
      <c r="X7" s="197" t="s">
        <v>118</v>
      </c>
      <c r="Y7" s="197" t="s">
        <v>119</v>
      </c>
      <c r="Z7" s="178" t="s">
        <v>120</v>
      </c>
      <c r="AA7" s="56"/>
      <c r="AB7" s="67" t="s">
        <v>121</v>
      </c>
      <c r="AC7" s="58">
        <v>70</v>
      </c>
      <c r="AD7" s="34"/>
      <c r="AE7" s="34"/>
    </row>
    <row r="8" spans="1:31" ht="14.5">
      <c r="A8" s="150"/>
      <c r="B8" s="150"/>
      <c r="C8" s="150"/>
      <c r="D8" s="150"/>
      <c r="E8" s="150"/>
      <c r="F8" s="150"/>
      <c r="G8" s="180" t="s">
        <v>122</v>
      </c>
      <c r="H8" s="180" t="s">
        <v>49</v>
      </c>
      <c r="I8" s="180" t="s">
        <v>123</v>
      </c>
      <c r="J8" s="180" t="s">
        <v>74</v>
      </c>
      <c r="K8" s="180" t="s">
        <v>52</v>
      </c>
      <c r="L8" s="180" t="s">
        <v>53</v>
      </c>
      <c r="M8" s="180" t="s">
        <v>124</v>
      </c>
      <c r="N8" s="195" t="s">
        <v>55</v>
      </c>
      <c r="O8" s="180" t="s">
        <v>125</v>
      </c>
      <c r="P8" s="195" t="s">
        <v>57</v>
      </c>
      <c r="Q8" s="180" t="s">
        <v>126</v>
      </c>
      <c r="R8" s="180" t="s">
        <v>127</v>
      </c>
      <c r="S8" s="180" t="s">
        <v>128</v>
      </c>
      <c r="T8" s="180" t="s">
        <v>84</v>
      </c>
      <c r="U8" s="180" t="s">
        <v>129</v>
      </c>
      <c r="V8" s="180" t="s">
        <v>130</v>
      </c>
      <c r="W8" s="150"/>
      <c r="X8" s="150"/>
      <c r="Y8" s="150"/>
      <c r="Z8" s="150"/>
      <c r="AA8" s="56"/>
      <c r="AB8" s="67" t="s">
        <v>131</v>
      </c>
      <c r="AC8" s="63">
        <v>65</v>
      </c>
      <c r="AD8" s="34"/>
      <c r="AE8" s="34"/>
    </row>
    <row r="9" spans="1:31" ht="14.5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56"/>
      <c r="AB9" s="67" t="s">
        <v>132</v>
      </c>
      <c r="AC9" s="68">
        <v>75</v>
      </c>
      <c r="AD9" s="34"/>
      <c r="AE9" s="34"/>
    </row>
    <row r="10" spans="1:31" ht="14.5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56"/>
      <c r="AB10" s="56"/>
      <c r="AC10" s="56"/>
      <c r="AD10" s="56"/>
      <c r="AE10" s="56"/>
    </row>
    <row r="11" spans="1:31" ht="14.5">
      <c r="A11" s="150"/>
      <c r="B11" s="150"/>
      <c r="C11" s="150"/>
      <c r="D11" s="150"/>
      <c r="E11" s="150"/>
      <c r="F11" s="69" t="s">
        <v>133</v>
      </c>
      <c r="G11" s="44">
        <v>1</v>
      </c>
      <c r="H11" s="44">
        <v>2</v>
      </c>
      <c r="I11" s="44">
        <v>3</v>
      </c>
      <c r="J11" s="44">
        <v>4</v>
      </c>
      <c r="K11" s="44">
        <v>5</v>
      </c>
      <c r="L11" s="44">
        <v>6</v>
      </c>
      <c r="M11" s="44">
        <v>7</v>
      </c>
      <c r="N11" s="44">
        <v>8</v>
      </c>
      <c r="O11" s="44">
        <v>9</v>
      </c>
      <c r="P11" s="44">
        <v>10</v>
      </c>
      <c r="Q11" s="44">
        <v>11</v>
      </c>
      <c r="R11" s="44">
        <v>12</v>
      </c>
      <c r="S11" s="44">
        <v>13</v>
      </c>
      <c r="T11" s="44">
        <v>14</v>
      </c>
      <c r="U11" s="44">
        <v>15</v>
      </c>
      <c r="V11" s="44">
        <v>16</v>
      </c>
      <c r="W11" s="44">
        <v>17</v>
      </c>
      <c r="X11" s="44">
        <v>18</v>
      </c>
      <c r="Y11" s="44">
        <v>19</v>
      </c>
      <c r="Z11" s="44">
        <v>20</v>
      </c>
      <c r="AA11" s="56"/>
      <c r="AB11" s="56"/>
      <c r="AC11" s="56"/>
      <c r="AD11" s="56"/>
      <c r="AE11" s="56"/>
    </row>
    <row r="12" spans="1:31" ht="14.5">
      <c r="A12" s="70">
        <f t="shared" ref="A12:A13" si="0">IF(MOD(ROW()-12,3)=0,INT((ROW()-12)/3)+1,"")</f>
        <v>1</v>
      </c>
      <c r="B12" s="70">
        <f t="array" ref="B12">IF(MOD(ROW()-ROW($B$12),3)=0,INDEX(BIODATA!B:B,INT((ROW()-ROW($B$12))/3)+24),"")</f>
        <v>0</v>
      </c>
      <c r="C12" s="70">
        <f t="array" ref="C12">IF(MOD(ROW()-ROW($B$12),3)=0,INDEX(BIODATA!C:C,INT((ROW()-ROW($B$12))/3)+24),"")</f>
        <v>0</v>
      </c>
      <c r="D12" s="71" t="str">
        <f t="array" ref="D12">IF(MOD(ROW()-ROW($B$12),3)=0,INDEX(BIODATA!D:D,INT((ROW()-ROW($B$12))/3)+24),"")</f>
        <v>ABIL QOSHIM HAMDI</v>
      </c>
      <c r="E12" s="70" t="str">
        <f t="array" ref="E12">IF(MOD(ROW()-ROW($B$12),3)=0,INDEX(BIODATA!H:H,INT((ROW()-ROW($B$12))/3)+24),"")</f>
        <v>L</v>
      </c>
      <c r="F12" s="72" t="s">
        <v>134</v>
      </c>
      <c r="G12" s="73">
        <f t="array" ref="G12">IF(MOD(ROW()-ROW($G$12),3)=0,INDEX(RR!L:L,INT((ROW()-ROW($G$12))/3)+9),"")</f>
        <v>78</v>
      </c>
      <c r="H12" s="73">
        <f t="array" ref="H12">IF(MOD(ROW()-ROW($H$12),3)=0,INDEX(RR!R:R,INT((ROW()-ROW($H$12))/3)+9),"")</f>
        <v>78</v>
      </c>
      <c r="I12" s="73">
        <f t="array" ref="I12">IF(MOD(ROW()-ROW($I$12),3)=0,INDEX(RR!X:X,INT((ROW()-ROW($I$12))/3)+9),"")</f>
        <v>80</v>
      </c>
      <c r="J12" s="73">
        <f t="array" ref="J12">IF(MOD(ROW()-ROW($I$12),3)=0,INDEX(RR!AC:AC,INT((ROW()-ROW($I$12))/3)+9),"")</f>
        <v>78</v>
      </c>
      <c r="K12" s="73">
        <f t="array" ref="K12">IF(MOD(ROW()-ROW($I$12),3)=0,INDEX(RR!AH:AH,INT((ROW()-ROW($I$12))/3)+9),"")</f>
        <v>80</v>
      </c>
      <c r="L12" s="73">
        <f t="array" ref="L12">IF(MOD(ROW()-ROW($I$12),3)=0,INDEX(RR!AK:AK,INT((ROW()-ROW($I$12))/3)+9),"")</f>
        <v>85</v>
      </c>
      <c r="M12" s="73">
        <f t="array" ref="M12">IF(MOD(ROW()-ROW($I$12),3)=0,INDEX(RR!AQ:AQ,INT((ROW()-ROW($I$12))/3)+9),"")</f>
        <v>78</v>
      </c>
      <c r="N12" s="73">
        <f t="array" ref="N12">IF(MOD(ROW()-ROW($I$12),3)=0,INDEX(RR!AW:AW,INT((ROW()-ROW($I$12))/3)+9),"")</f>
        <v>78</v>
      </c>
      <c r="O12" s="73">
        <f t="array" ref="O12">IF(MOD(ROW()-ROW($I$12),3)=0,INDEX(RR!BB:BB,INT((ROW()-ROW($I$12))/3)+9),"")</f>
        <v>0</v>
      </c>
      <c r="P12" s="73">
        <f t="array" ref="P12">IF(MOD(ROW()-ROW($I$12),3)=0,INDEX(RR!BF:BF,INT((ROW()-ROW($I$12))/3)+9),"")</f>
        <v>78</v>
      </c>
      <c r="Q12" s="73">
        <f t="array" ref="Q12">IF(MOD(ROW()-ROW($I$12),3)=0,INDEX(RR!BI:BI,INT((ROW()-ROW($I$12))/3)+9),"")</f>
        <v>80</v>
      </c>
      <c r="R12" s="73">
        <f t="array" ref="R12">IF(MOD(ROW()-ROW($I$12),3)=0,INDEX(RR!BL:BL,INT((ROW()-ROW($I$12))/3)+9),"")</f>
        <v>78</v>
      </c>
      <c r="S12" s="73" t="e">
        <f t="array" ref="S12">IF(MOD(ROW()-ROW($I$12),3)=0,INDEX(RR!BP:BP,INT((ROW()-ROW($I$12))/3)+9),"")</f>
        <v>#DIV/0!</v>
      </c>
      <c r="T12" s="73" t="e">
        <f t="array" ref="T12">IF(MOD(ROW()-ROW($I$12),3)=0,INDEX(RR!BT:BT,INT((ROW()-ROW($I$12))/3)+9),"")</f>
        <v>#DIV/0!</v>
      </c>
      <c r="U12" s="73">
        <f t="array" ref="U12">IF(MOD(ROW()-ROW($I$12),3)=0,INDEX(RR!BV:BV,INT((ROW()-ROW($I$12))/3)+9),"")</f>
        <v>0</v>
      </c>
      <c r="V12" s="73" t="e">
        <f t="array" ref="V12">IF(MOD(ROW()-ROW($I$12),3)=0,INDEX(RR!BZ:BZ,INT((ROW()-ROW($I$12))/3)+9),"")</f>
        <v>#DIV/0!</v>
      </c>
      <c r="W12" s="73" t="e">
        <f t="shared" ref="W12:W13" si="1">IF(MOD(ROW()-ROW($W$12),3)&lt;&gt;2,SUM(G12:V12),"")</f>
        <v>#DIV/0!</v>
      </c>
      <c r="X12" s="73" t="e">
        <f>IF(MOD(ROW()-ROW($X$12),3)&lt;&gt;2,ROUND(W12/16,2),"")</f>
        <v>#DIV/0!</v>
      </c>
      <c r="Y12" s="70"/>
      <c r="Z12" s="74" t="e">
        <f t="array" ref="Z12">IF(MOD(ROW()-ROW($Z$12),3)=0,IF(INDEX(X:X,ROW()+2)&gt;=$AC$9,"L","TL"),"")</f>
        <v>#DIV/0!</v>
      </c>
      <c r="AA12" s="56"/>
      <c r="AB12" s="56"/>
      <c r="AC12" s="56"/>
      <c r="AD12" s="56"/>
      <c r="AE12" s="56"/>
    </row>
    <row r="13" spans="1:31" ht="14.5">
      <c r="A13" s="70" t="str">
        <f t="shared" si="0"/>
        <v/>
      </c>
      <c r="B13" s="70" t="str">
        <f t="array" ref="B13">IF(MOD(ROW()-ROW($B$12),3)=0,INDEX(BIODATA!B:B,INT((ROW()-ROW($B$12))/3)+24),"")</f>
        <v/>
      </c>
      <c r="C13" s="70"/>
      <c r="D13" s="71"/>
      <c r="E13" s="70"/>
      <c r="F13" s="72" t="s">
        <v>105</v>
      </c>
      <c r="G13" s="73">
        <f t="array" ref="G13">IF(MOD(ROW()-ROW($G$12),3)=1,INDEX(PSAJ!F:F,INT((ROW()-ROW($G$12))/3)+8),"")</f>
        <v>86</v>
      </c>
      <c r="H13" s="73">
        <f t="array" ref="H13">IF(MOD(ROW()-ROW($G$12),3)=1,INDEX(PSAJ!G:G,INT((ROW()-ROW($G$12))/3)+8),"")</f>
        <v>80</v>
      </c>
      <c r="I13" s="73">
        <f t="array" ref="I13">IF(MOD(ROW()-ROW($G$12),3)=1,INDEX(PSAJ!H:H,INT((ROW()-ROW($G$12))/3)+8),"")</f>
        <v>80</v>
      </c>
      <c r="J13" s="73">
        <f t="array" ref="J13">IF(MOD(ROW()-ROW($G$12),3)=1,INDEX(PSAJ!I:I,INT((ROW()-ROW($G$12))/3)+8),"")</f>
        <v>85</v>
      </c>
      <c r="K13" s="73">
        <f t="array" ref="K13">IF(MOD(ROW()-ROW($G$12),3)=1,INDEX(PSAJ!J:J,INT((ROW()-ROW($G$12))/3)+8),"")</f>
        <v>83</v>
      </c>
      <c r="L13" s="73">
        <f t="array" ref="L13">IF(MOD(ROW()-ROW($G$12),3)=1,INDEX(PSAJ!K:K,INT((ROW()-ROW($G$12))/3)+8),"")</f>
        <v>82</v>
      </c>
      <c r="M13" s="73">
        <f t="array" ref="M13">IF(MOD(ROW()-ROW($G$12),3)=1,INDEX(PSAJ!L:L,INT((ROW()-ROW($G$12))/3)+8),"")</f>
        <v>85</v>
      </c>
      <c r="N13" s="73">
        <f t="array" ref="N13">IF(MOD(ROW()-ROW($G$12),3)=1,INDEX(PSAJ!M:M,INT((ROW()-ROW($G$12))/3)+8),"")</f>
        <v>80</v>
      </c>
      <c r="O13" s="73">
        <f t="array" ref="O13">IF(MOD(ROW()-ROW($G$12),3)=1,INDEX(PSAJ!N:N,INT((ROW()-ROW($G$12))/3)+8),"")</f>
        <v>85</v>
      </c>
      <c r="P13" s="73">
        <f t="array" ref="P13">IF(MOD(ROW()-ROW($G$12),3)=1,INDEX(PSAJ!O:O,INT((ROW()-ROW($G$12))/3)+8),"")</f>
        <v>82</v>
      </c>
      <c r="Q13" s="73">
        <f t="array" ref="Q13">IF(MOD(ROW()-ROW($G$12),3)=1,INDEX(PSAJ!P:P,INT((ROW()-ROW($G$12))/3)+8),"")</f>
        <v>82</v>
      </c>
      <c r="R13" s="73">
        <f t="array" ref="R13">IF(MOD(ROW()-ROW($G$12),3)=1,INDEX(PSAJ!Q:Q,INT((ROW()-ROW($G$12))/3)+8),"")</f>
        <v>80</v>
      </c>
      <c r="S13" s="73">
        <f t="array" ref="S13">IF(MOD(ROW()-ROW($G$12),3)=1,INDEX(PSAJ!R:R,INT((ROW()-ROW($G$12))/3)+8),"")</f>
        <v>85</v>
      </c>
      <c r="T13" s="73">
        <f t="array" ref="T13">IF(MOD(ROW()-ROW($G$12),3)=1,INDEX(PSAJ!S:S,INT((ROW()-ROW($G$12))/3)+8),"")</f>
        <v>80</v>
      </c>
      <c r="U13" s="73">
        <v>0</v>
      </c>
      <c r="V13" s="73">
        <f t="array" ref="V13">IF(MOD(ROW()-ROW($G$12),3)=1,INDEX(PSAJ!T:T,INT((ROW()-ROW($G$12))/3)+8),"")</f>
        <v>80</v>
      </c>
      <c r="W13" s="73">
        <f t="shared" si="1"/>
        <v>1235</v>
      </c>
      <c r="X13" s="73">
        <f>IF(MOD(ROW()-ROW($X$12),3)&lt;&gt;2,ROUND(W13/15,2),"")</f>
        <v>82.33</v>
      </c>
      <c r="Y13" s="70"/>
      <c r="Z13" s="75"/>
      <c r="AA13" s="56"/>
      <c r="AB13" s="56"/>
      <c r="AC13" s="56"/>
      <c r="AD13" s="56"/>
      <c r="AE13" s="56"/>
    </row>
    <row r="14" spans="1:31" ht="14.5">
      <c r="A14" s="70"/>
      <c r="B14" s="70"/>
      <c r="C14" s="70"/>
      <c r="D14" s="71"/>
      <c r="E14" s="70"/>
      <c r="F14" s="76" t="s">
        <v>135</v>
      </c>
      <c r="G14" s="77">
        <f t="shared" ref="G14:T14" si="2">IF(MOD(ROW()-ROW($G$12),3)=2,((INDEX(G:G,ROW()-2)*$AC$4)+(INDEX(G:G,ROW()-1)*$AE$4))/$AD$5,"")</f>
        <v>82</v>
      </c>
      <c r="H14" s="77">
        <f t="shared" si="2"/>
        <v>79</v>
      </c>
      <c r="I14" s="77">
        <f t="shared" si="2"/>
        <v>80</v>
      </c>
      <c r="J14" s="77">
        <f t="shared" si="2"/>
        <v>81.5</v>
      </c>
      <c r="K14" s="77">
        <f t="shared" si="2"/>
        <v>81.5</v>
      </c>
      <c r="L14" s="77">
        <f t="shared" si="2"/>
        <v>83.5</v>
      </c>
      <c r="M14" s="77">
        <f t="shared" si="2"/>
        <v>81.5</v>
      </c>
      <c r="N14" s="77">
        <f t="shared" si="2"/>
        <v>79</v>
      </c>
      <c r="O14" s="77">
        <f t="shared" si="2"/>
        <v>42.5</v>
      </c>
      <c r="P14" s="77">
        <f t="shared" si="2"/>
        <v>80</v>
      </c>
      <c r="Q14" s="77">
        <f t="shared" si="2"/>
        <v>81</v>
      </c>
      <c r="R14" s="77">
        <f t="shared" si="2"/>
        <v>79</v>
      </c>
      <c r="S14" s="77" t="e">
        <f t="shared" si="2"/>
        <v>#DIV/0!</v>
      </c>
      <c r="T14" s="77" t="e">
        <f t="shared" si="2"/>
        <v>#DIV/0!</v>
      </c>
      <c r="U14" s="77">
        <f t="array" ref="U14">IF(MOD(ROW()-ROW($U$12),3)=2,N(INDEX(U:U,ROW()-2)),0)</f>
        <v>0</v>
      </c>
      <c r="V14" s="77" t="e">
        <f>IF(MOD(ROW()-ROW($G$12),3)=2,((INDEX(V:V,ROW()-2)*$AC$4)+(INDEX(V:V,ROW()-1)*$AE$4))/$AD$5,"")</f>
        <v>#DIV/0!</v>
      </c>
      <c r="W14" s="77" t="e">
        <f>IF(MOD(ROW()-ROW($G$12),3)=2,((INDEX(W:W,ROW()-2)*$AC$4)+(INDEX(W:W,ROW()-1)*$AE$4))/$AD$5,"")</f>
        <v>#DIV/0!</v>
      </c>
      <c r="X14" s="77" t="e">
        <f>IF(MOD(ROW()-ROW($G$12),3)=2,((INDEX(X:X,ROW()-2)*$AC$4)+(INDEX(X:X,ROW()-1)*$AE$4))/$AD$5,"")</f>
        <v>#DIV/0!</v>
      </c>
      <c r="Y14" s="78"/>
      <c r="Z14" s="77"/>
      <c r="AA14" s="56"/>
      <c r="AB14" s="56"/>
      <c r="AC14" s="56"/>
      <c r="AD14" s="56"/>
      <c r="AE14" s="56"/>
    </row>
    <row r="15" spans="1:31" ht="14.5">
      <c r="A15" s="70">
        <f t="shared" ref="A15:A16" si="3">IF(MOD(ROW()-12,3)=0,INT((ROW()-12)/3)+1,"")</f>
        <v>2</v>
      </c>
      <c r="B15" s="70">
        <f t="array" ref="B15">IF(MOD(ROW()-ROW($B$12),3)=0,INDEX(BIODATA!B:B,INT((ROW()-ROW($B$12))/3)+24),"")</f>
        <v>0</v>
      </c>
      <c r="C15" s="70">
        <f t="array" ref="C15">IF(MOD(ROW()-ROW($B$12),3)=0,INDEX(BIODATA!C:C,INT((ROW()-ROW($B$12))/3)+24),"")</f>
        <v>0</v>
      </c>
      <c r="D15" s="71" t="str">
        <f t="array" ref="D15">IF(MOD(ROW()-ROW($B$12),3)=0,INDEX(BIODATA!D:D,INT((ROW()-ROW($B$12))/3)+24),"")</f>
        <v>AHMA SELGI NUR SA'BAN</v>
      </c>
      <c r="E15" s="70" t="str">
        <f t="array" ref="E15">IF(MOD(ROW()-ROW($B$12),3)=0,INDEX(BIODATA!H:H,INT((ROW()-ROW($B$12))/3)+24),"")</f>
        <v>L</v>
      </c>
      <c r="F15" s="72" t="s">
        <v>134</v>
      </c>
      <c r="G15" s="73">
        <f t="array" ref="G15">IF(MOD(ROW()-ROW($G$12),3)=0,INDEX(RR!L:L,INT((ROW()-ROW($G$12))/3)+9),"")</f>
        <v>85</v>
      </c>
      <c r="H15" s="73">
        <f t="array" ref="H15">IF(MOD(ROW()-ROW($H$12),3)=0,INDEX(RR!R:R,INT((ROW()-ROW($H$12))/3)+9),"")</f>
        <v>78</v>
      </c>
      <c r="I15" s="73">
        <f t="array" ref="I15">IF(MOD(ROW()-ROW($I$12),3)=0,INDEX(RR!X:X,INT((ROW()-ROW($I$12))/3)+9),"")</f>
        <v>80</v>
      </c>
      <c r="J15" s="73">
        <f t="array" ref="J15">IF(MOD(ROW()-ROW($I$12),3)=0,INDEX(RR!AC:AC,INT((ROW()-ROW($I$12))/3)+9),"")</f>
        <v>88</v>
      </c>
      <c r="K15" s="73">
        <f t="array" ref="K15">IF(MOD(ROW()-ROW($I$12),3)=0,INDEX(RR!AH:AH,INT((ROW()-ROW($I$12))/3)+9),"")</f>
        <v>87</v>
      </c>
      <c r="L15" s="73">
        <f t="array" ref="L15">IF(MOD(ROW()-ROW($I$12),3)=0,INDEX(RR!AK:AK,INT((ROW()-ROW($I$12))/3)+9),"")</f>
        <v>85</v>
      </c>
      <c r="M15" s="73">
        <f t="array" ref="M15">IF(MOD(ROW()-ROW($I$12),3)=0,INDEX(RR!AQ:AQ,INT((ROW()-ROW($I$12))/3)+9),"")</f>
        <v>85</v>
      </c>
      <c r="N15" s="73">
        <f t="array" ref="N15">IF(MOD(ROW()-ROW($I$12),3)=0,INDEX(RR!AW:AW,INT((ROW()-ROW($I$12))/3)+9),"")</f>
        <v>79</v>
      </c>
      <c r="O15" s="73">
        <f t="array" ref="O15">IF(MOD(ROW()-ROW($I$12),3)=0,INDEX(RR!BB:BB,INT((ROW()-ROW($I$12))/3)+9),"")</f>
        <v>0</v>
      </c>
      <c r="P15" s="73">
        <f t="array" ref="P15">IF(MOD(ROW()-ROW($I$12),3)=0,INDEX(RR!BF:BF,INT((ROW()-ROW($I$12))/3)+9),"")</f>
        <v>78</v>
      </c>
      <c r="Q15" s="73">
        <f t="array" ref="Q15">IF(MOD(ROW()-ROW($I$12),3)=0,INDEX(RR!BI:BI,INT((ROW()-ROW($I$12))/3)+9),"")</f>
        <v>82</v>
      </c>
      <c r="R15" s="73">
        <f t="array" ref="R15">IF(MOD(ROW()-ROW($I$12),3)=0,INDEX(RR!BL:BL,INT((ROW()-ROW($I$12))/3)+9),"")</f>
        <v>78</v>
      </c>
      <c r="S15" s="73" t="e">
        <f t="array" ref="S15">IF(MOD(ROW()-ROW($I$12),3)=0,INDEX(RR!BP:BP,INT((ROW()-ROW($I$12))/3)+9),"")</f>
        <v>#DIV/0!</v>
      </c>
      <c r="T15" s="73" t="e">
        <f t="array" ref="T15">IF(MOD(ROW()-ROW($I$12),3)=0,INDEX(RR!BT:BT,INT((ROW()-ROW($I$12))/3)+9),"")</f>
        <v>#DIV/0!</v>
      </c>
      <c r="U15" s="73">
        <f t="array" ref="U15">IF(MOD(ROW()-ROW($I$12),3)=0,INDEX(RR!BV:BV,INT((ROW()-ROW($I$12))/3)+9),"")</f>
        <v>0</v>
      </c>
      <c r="V15" s="73" t="e">
        <f t="array" ref="V15">IF(MOD(ROW()-ROW($I$12),3)=0,INDEX(RR!BZ:BZ,INT((ROW()-ROW($I$12))/3)+9),"")</f>
        <v>#DIV/0!</v>
      </c>
      <c r="W15" s="73" t="e">
        <f t="shared" ref="W15:W16" si="4">IF(MOD(ROW()-ROW($W$12),3)&lt;&gt;2,SUM(G15:V15),"")</f>
        <v>#DIV/0!</v>
      </c>
      <c r="X15" s="73" t="e">
        <f>IF(MOD(ROW()-ROW($X$12),3)&lt;&gt;2,ROUND(W15/16,2),"")</f>
        <v>#DIV/0!</v>
      </c>
      <c r="Y15" s="70"/>
      <c r="Z15" s="74" t="e">
        <f t="array" ref="Z15">IF(MOD(ROW()-ROW($Z$12),3)=0,IF(INDEX(X:X,ROW()+2)&gt;=$AC$9,"L","TL"),"")</f>
        <v>#DIV/0!</v>
      </c>
      <c r="AA15" s="56"/>
      <c r="AB15" s="56"/>
      <c r="AC15" s="56"/>
      <c r="AD15" s="56"/>
      <c r="AE15" s="56"/>
    </row>
    <row r="16" spans="1:31" ht="14.5">
      <c r="A16" s="70" t="str">
        <f t="shared" si="3"/>
        <v/>
      </c>
      <c r="B16" s="70" t="str">
        <f t="array" ref="B16">IF(MOD(ROW()-ROW($B$12),3)=0,INDEX(BIODATA!B:B,INT((ROW()-ROW($B$12))/3)+24),"")</f>
        <v/>
      </c>
      <c r="C16" s="70"/>
      <c r="D16" s="71"/>
      <c r="E16" s="70"/>
      <c r="F16" s="72" t="s">
        <v>105</v>
      </c>
      <c r="G16" s="73">
        <f t="array" ref="G16">IF(MOD(ROW()-ROW($G$12),3)=1,INDEX(PSAJ!F:F,INT((ROW()-ROW($G$12))/3)+8),"")</f>
        <v>80</v>
      </c>
      <c r="H16" s="73">
        <f t="array" ref="H16">IF(MOD(ROW()-ROW($G$12),3)=1,INDEX(PSAJ!G:G,INT((ROW()-ROW($G$12))/3)+8),"")</f>
        <v>81</v>
      </c>
      <c r="I16" s="73">
        <f t="array" ref="I16">IF(MOD(ROW()-ROW($G$12),3)=1,INDEX(PSAJ!H:H,INT((ROW()-ROW($G$12))/3)+8),"")</f>
        <v>81</v>
      </c>
      <c r="J16" s="73">
        <f t="array" ref="J16">IF(MOD(ROW()-ROW($G$12),3)=1,INDEX(PSAJ!I:I,INT((ROW()-ROW($G$12))/3)+8),"")</f>
        <v>81</v>
      </c>
      <c r="K16" s="73">
        <f t="array" ref="K16">IF(MOD(ROW()-ROW($G$12),3)=1,INDEX(PSAJ!J:J,INT((ROW()-ROW($G$12))/3)+8),"")</f>
        <v>80</v>
      </c>
      <c r="L16" s="73">
        <f t="array" ref="L16">IF(MOD(ROW()-ROW($G$12),3)=1,INDEX(PSAJ!K:K,INT((ROW()-ROW($G$12))/3)+8),"")</f>
        <v>80</v>
      </c>
      <c r="M16" s="73">
        <f t="array" ref="M16">IF(MOD(ROW()-ROW($G$12),3)=1,INDEX(PSAJ!L:L,INT((ROW()-ROW($G$12))/3)+8),"")</f>
        <v>81</v>
      </c>
      <c r="N16" s="73">
        <f t="array" ref="N16">IF(MOD(ROW()-ROW($G$12),3)=1,INDEX(PSAJ!M:M,INT((ROW()-ROW($G$12))/3)+8),"")</f>
        <v>80</v>
      </c>
      <c r="O16" s="73">
        <f t="array" ref="O16">IF(MOD(ROW()-ROW($G$12),3)=1,INDEX(PSAJ!N:N,INT((ROW()-ROW($G$12))/3)+8),"")</f>
        <v>80</v>
      </c>
      <c r="P16" s="73">
        <f t="array" ref="P16">IF(MOD(ROW()-ROW($G$12),3)=1,INDEX(PSAJ!O:O,INT((ROW()-ROW($G$12))/3)+8),"")</f>
        <v>80</v>
      </c>
      <c r="Q16" s="73">
        <f t="array" ref="Q16">IF(MOD(ROW()-ROW($G$12),3)=1,INDEX(PSAJ!P:P,INT((ROW()-ROW($G$12))/3)+8),"")</f>
        <v>79</v>
      </c>
      <c r="R16" s="73">
        <f t="array" ref="R16">IF(MOD(ROW()-ROW($G$12),3)=1,INDEX(PSAJ!Q:Q,INT((ROW()-ROW($G$12))/3)+8),"")</f>
        <v>81</v>
      </c>
      <c r="S16" s="73">
        <f t="array" ref="S16">IF(MOD(ROW()-ROW($G$12),3)=1,INDEX(PSAJ!R:R,INT((ROW()-ROW($G$12))/3)+8),"")</f>
        <v>84</v>
      </c>
      <c r="T16" s="73">
        <f t="array" ref="T16">IF(MOD(ROW()-ROW($G$12),3)=1,INDEX(PSAJ!S:S,INT((ROW()-ROW($G$12))/3)+8),"")</f>
        <v>81</v>
      </c>
      <c r="U16" s="73">
        <v>0</v>
      </c>
      <c r="V16" s="73">
        <f t="array" ref="V16">IF(MOD(ROW()-ROW($G$12),3)=1,INDEX(PSAJ!T:T,INT((ROW()-ROW($G$12))/3)+8),"")</f>
        <v>81</v>
      </c>
      <c r="W16" s="73">
        <f t="shared" si="4"/>
        <v>1210</v>
      </c>
      <c r="X16" s="73">
        <f>IF(MOD(ROW()-ROW($X$12),3)&lt;&gt;2,ROUND(W16/15,2),"")</f>
        <v>80.67</v>
      </c>
      <c r="Y16" s="70"/>
      <c r="Z16" s="75"/>
      <c r="AA16" s="56"/>
      <c r="AB16" s="56"/>
      <c r="AC16" s="56"/>
      <c r="AD16" s="56"/>
      <c r="AE16" s="56"/>
    </row>
    <row r="17" spans="1:31" ht="14.5">
      <c r="A17" s="70"/>
      <c r="B17" s="70"/>
      <c r="C17" s="70"/>
      <c r="D17" s="71"/>
      <c r="E17" s="70"/>
      <c r="F17" s="76" t="s">
        <v>135</v>
      </c>
      <c r="G17" s="77">
        <f t="shared" ref="G17:T17" si="5">IF(MOD(ROW()-ROW($G$12),3)=2,((INDEX(G:G,ROW()-2)*$AC$4)+(INDEX(G:G,ROW()-1)*$AE$4))/$AD$5,"")</f>
        <v>82.5</v>
      </c>
      <c r="H17" s="77">
        <f t="shared" si="5"/>
        <v>79.5</v>
      </c>
      <c r="I17" s="77">
        <f t="shared" si="5"/>
        <v>80.5</v>
      </c>
      <c r="J17" s="77">
        <f t="shared" si="5"/>
        <v>84.5</v>
      </c>
      <c r="K17" s="77">
        <f t="shared" si="5"/>
        <v>83.5</v>
      </c>
      <c r="L17" s="77">
        <f t="shared" si="5"/>
        <v>82.5</v>
      </c>
      <c r="M17" s="77">
        <f t="shared" si="5"/>
        <v>83</v>
      </c>
      <c r="N17" s="77">
        <f t="shared" si="5"/>
        <v>79.5</v>
      </c>
      <c r="O17" s="77">
        <f t="shared" si="5"/>
        <v>40</v>
      </c>
      <c r="P17" s="77">
        <f t="shared" si="5"/>
        <v>79</v>
      </c>
      <c r="Q17" s="77">
        <f t="shared" si="5"/>
        <v>80.5</v>
      </c>
      <c r="R17" s="77">
        <f t="shared" si="5"/>
        <v>79.5</v>
      </c>
      <c r="S17" s="77" t="e">
        <f t="shared" si="5"/>
        <v>#DIV/0!</v>
      </c>
      <c r="T17" s="77" t="e">
        <f t="shared" si="5"/>
        <v>#DIV/0!</v>
      </c>
      <c r="U17" s="77">
        <f t="array" ref="U17">IF(MOD(ROW()-ROW($U$12),3)=2,N(INDEX(U:U,ROW()-2)),0)</f>
        <v>0</v>
      </c>
      <c r="V17" s="77" t="e">
        <f>IF(MOD(ROW()-ROW($G$12),3)=2,((INDEX(V:V,ROW()-2)*$AC$4)+(INDEX(V:V,ROW()-1)*$AE$4))/$AD$5,"")</f>
        <v>#DIV/0!</v>
      </c>
      <c r="W17" s="77" t="e">
        <f>IF(MOD(ROW()-ROW($G$12),3)=2,((INDEX(W:W,ROW()-2)*$AC$4)+(INDEX(W:W,ROW()-1)*$AE$4))/$AD$5,"")</f>
        <v>#DIV/0!</v>
      </c>
      <c r="X17" s="77" t="e">
        <f>IF(MOD(ROW()-ROW($G$12),3)=2,((INDEX(X:X,ROW()-2)*$AC$4)+(INDEX(X:X,ROW()-1)*$AE$4))/$AD$5,"")</f>
        <v>#DIV/0!</v>
      </c>
      <c r="Y17" s="78"/>
      <c r="Z17" s="77"/>
      <c r="AA17" s="56"/>
      <c r="AB17" s="56"/>
      <c r="AC17" s="56"/>
      <c r="AD17" s="56"/>
      <c r="AE17" s="56"/>
    </row>
    <row r="18" spans="1:31" ht="14.5">
      <c r="A18" s="70">
        <f t="shared" ref="A18:A19" si="6">IF(MOD(ROW()-12,3)=0,INT((ROW()-12)/3)+1,"")</f>
        <v>3</v>
      </c>
      <c r="B18" s="70">
        <f t="array" ref="B18">IF(MOD(ROW()-ROW($B$12),3)=0,INDEX(BIODATA!B:B,INT((ROW()-ROW($B$12))/3)+24),"")</f>
        <v>0</v>
      </c>
      <c r="C18" s="70">
        <f t="array" ref="C18">IF(MOD(ROW()-ROW($B$12),3)=0,INDEX(BIODATA!C:C,INT((ROW()-ROW($B$12))/3)+24),"")</f>
        <v>0</v>
      </c>
      <c r="D18" s="71" t="str">
        <f t="array" ref="D18">IF(MOD(ROW()-ROW($B$12),3)=0,INDEX(BIODATA!D:D,INT((ROW()-ROW($B$12))/3)+24),"")</f>
        <v>AHMAD ISOMUDDIN KHADIIQ</v>
      </c>
      <c r="E18" s="70" t="str">
        <f t="array" ref="E18">IF(MOD(ROW()-ROW($B$12),3)=0,INDEX(BIODATA!H:H,INT((ROW()-ROW($B$12))/3)+24),"")</f>
        <v>L</v>
      </c>
      <c r="F18" s="72" t="s">
        <v>134</v>
      </c>
      <c r="G18" s="73">
        <f t="array" ref="G18">IF(MOD(ROW()-ROW($G$12),3)=0,INDEX(RR!L:L,INT((ROW()-ROW($G$12))/3)+9),"")</f>
        <v>87</v>
      </c>
      <c r="H18" s="73">
        <f t="array" ref="H18">IF(MOD(ROW()-ROW($H$12),3)=0,INDEX(RR!R:R,INT((ROW()-ROW($H$12))/3)+9),"")</f>
        <v>89</v>
      </c>
      <c r="I18" s="73">
        <f t="array" ref="I18">IF(MOD(ROW()-ROW($I$12),3)=0,INDEX(RR!X:X,INT((ROW()-ROW($I$12))/3)+9),"")</f>
        <v>80</v>
      </c>
      <c r="J18" s="73">
        <f t="array" ref="J18">IF(MOD(ROW()-ROW($I$12),3)=0,INDEX(RR!AC:AC,INT((ROW()-ROW($I$12))/3)+9),"")</f>
        <v>89</v>
      </c>
      <c r="K18" s="73">
        <f t="array" ref="K18">IF(MOD(ROW()-ROW($I$12),3)=0,INDEX(RR!AH:AH,INT((ROW()-ROW($I$12))/3)+9),"")</f>
        <v>89</v>
      </c>
      <c r="L18" s="73">
        <f t="array" ref="L18">IF(MOD(ROW()-ROW($I$12),3)=0,INDEX(RR!AK:AK,INT((ROW()-ROW($I$12))/3)+9),"")</f>
        <v>80</v>
      </c>
      <c r="M18" s="73">
        <f t="array" ref="M18">IF(MOD(ROW()-ROW($I$12),3)=0,INDEX(RR!AQ:AQ,INT((ROW()-ROW($I$12))/3)+9),"")</f>
        <v>87</v>
      </c>
      <c r="N18" s="73">
        <f t="array" ref="N18">IF(MOD(ROW()-ROW($I$12),3)=0,INDEX(RR!AW:AW,INT((ROW()-ROW($I$12))/3)+9),"")</f>
        <v>81</v>
      </c>
      <c r="O18" s="73">
        <f t="array" ref="O18">IF(MOD(ROW()-ROW($I$12),3)=0,INDEX(RR!BB:BB,INT((ROW()-ROW($I$12))/3)+9),"")</f>
        <v>0</v>
      </c>
      <c r="P18" s="73">
        <f t="array" ref="P18">IF(MOD(ROW()-ROW($I$12),3)=0,INDEX(RR!BF:BF,INT((ROW()-ROW($I$12))/3)+9),"")</f>
        <v>78</v>
      </c>
      <c r="Q18" s="73">
        <f t="array" ref="Q18">IF(MOD(ROW()-ROW($I$12),3)=0,INDEX(RR!BI:BI,INT((ROW()-ROW($I$12))/3)+9),"")</f>
        <v>82</v>
      </c>
      <c r="R18" s="73">
        <f t="array" ref="R18">IF(MOD(ROW()-ROW($I$12),3)=0,INDEX(RR!BL:BL,INT((ROW()-ROW($I$12))/3)+9),"")</f>
        <v>78</v>
      </c>
      <c r="S18" s="73" t="e">
        <f t="array" ref="S18">IF(MOD(ROW()-ROW($I$12),3)=0,INDEX(RR!BP:BP,INT((ROW()-ROW($I$12))/3)+9),"")</f>
        <v>#DIV/0!</v>
      </c>
      <c r="T18" s="73" t="e">
        <f t="array" ref="T18">IF(MOD(ROW()-ROW($I$12),3)=0,INDEX(RR!BT:BT,INT((ROW()-ROW($I$12))/3)+9),"")</f>
        <v>#DIV/0!</v>
      </c>
      <c r="U18" s="73">
        <f t="array" ref="U18">IF(MOD(ROW()-ROW($I$12),3)=0,INDEX(RR!BV:BV,INT((ROW()-ROW($I$12))/3)+9),"")</f>
        <v>0</v>
      </c>
      <c r="V18" s="73" t="e">
        <f t="array" ref="V18">IF(MOD(ROW()-ROW($I$12),3)=0,INDEX(RR!BZ:BZ,INT((ROW()-ROW($I$12))/3)+9),"")</f>
        <v>#DIV/0!</v>
      </c>
      <c r="W18" s="73" t="e">
        <f t="shared" ref="W18:W19" si="7">IF(MOD(ROW()-ROW($W$12),3)&lt;&gt;2,SUM(G18:V18),"")</f>
        <v>#DIV/0!</v>
      </c>
      <c r="X18" s="73" t="e">
        <f>IF(MOD(ROW()-ROW($X$12),3)&lt;&gt;2,ROUND(W18/16,2),"")</f>
        <v>#DIV/0!</v>
      </c>
      <c r="Y18" s="70"/>
      <c r="Z18" s="74" t="e">
        <f t="array" ref="Z18">IF(MOD(ROW()-ROW($Z$12),3)=0,IF(INDEX(X:X,ROW()+2)&gt;=$AC$9,"L","TL"),"")</f>
        <v>#DIV/0!</v>
      </c>
      <c r="AA18" s="56"/>
      <c r="AB18" s="56"/>
      <c r="AC18" s="56"/>
      <c r="AD18" s="56"/>
      <c r="AE18" s="56"/>
    </row>
    <row r="19" spans="1:31" ht="14.5">
      <c r="A19" s="70" t="str">
        <f t="shared" si="6"/>
        <v/>
      </c>
      <c r="B19" s="70" t="str">
        <f t="array" ref="B19">IF(MOD(ROW()-ROW($B$12),3)=0,INDEX(BIODATA!B:B,INT((ROW()-ROW($B$12))/3)+24),"")</f>
        <v/>
      </c>
      <c r="C19" s="70"/>
      <c r="D19" s="71"/>
      <c r="E19" s="70"/>
      <c r="F19" s="72" t="s">
        <v>105</v>
      </c>
      <c r="G19" s="73">
        <f t="array" ref="G19">IF(MOD(ROW()-ROW($G$12),3)=1,INDEX(PSAJ!F:F,INT((ROW()-ROW($G$12))/3)+8),"")</f>
        <v>81</v>
      </c>
      <c r="H19" s="73">
        <f t="array" ref="H19">IF(MOD(ROW()-ROW($G$12),3)=1,INDEX(PSAJ!G:G,INT((ROW()-ROW($G$12))/3)+8),"")</f>
        <v>80</v>
      </c>
      <c r="I19" s="73">
        <f t="array" ref="I19">IF(MOD(ROW()-ROW($G$12),3)=1,INDEX(PSAJ!H:H,INT((ROW()-ROW($G$12))/3)+8),"")</f>
        <v>78</v>
      </c>
      <c r="J19" s="73">
        <f t="array" ref="J19">IF(MOD(ROW()-ROW($G$12),3)=1,INDEX(PSAJ!I:I,INT((ROW()-ROW($G$12))/3)+8),"")</f>
        <v>80</v>
      </c>
      <c r="K19" s="73">
        <f t="array" ref="K19">IF(MOD(ROW()-ROW($G$12),3)=1,INDEX(PSAJ!J:J,INT((ROW()-ROW($G$12))/3)+8),"")</f>
        <v>80</v>
      </c>
      <c r="L19" s="73">
        <f t="array" ref="L19">IF(MOD(ROW()-ROW($G$12),3)=1,INDEX(PSAJ!K:K,INT((ROW()-ROW($G$12))/3)+8),"")</f>
        <v>82</v>
      </c>
      <c r="M19" s="73">
        <f t="array" ref="M19">IF(MOD(ROW()-ROW($G$12),3)=1,INDEX(PSAJ!L:L,INT((ROW()-ROW($G$12))/3)+8),"")</f>
        <v>80</v>
      </c>
      <c r="N19" s="73">
        <f t="array" ref="N19">IF(MOD(ROW()-ROW($G$12),3)=1,INDEX(PSAJ!M:M,INT((ROW()-ROW($G$12))/3)+8),"")</f>
        <v>87</v>
      </c>
      <c r="O19" s="73">
        <f t="array" ref="O19">IF(MOD(ROW()-ROW($G$12),3)=1,INDEX(PSAJ!N:N,INT((ROW()-ROW($G$12))/3)+8),"")</f>
        <v>80</v>
      </c>
      <c r="P19" s="73">
        <f t="array" ref="P19">IF(MOD(ROW()-ROW($G$12),3)=1,INDEX(PSAJ!O:O,INT((ROW()-ROW($G$12))/3)+8),"")</f>
        <v>83</v>
      </c>
      <c r="Q19" s="73">
        <f t="array" ref="Q19">IF(MOD(ROW()-ROW($G$12),3)=1,INDEX(PSAJ!P:P,INT((ROW()-ROW($G$12))/3)+8),"")</f>
        <v>79</v>
      </c>
      <c r="R19" s="73">
        <f t="array" ref="R19">IF(MOD(ROW()-ROW($G$12),3)=1,INDEX(PSAJ!Q:Q,INT((ROW()-ROW($G$12))/3)+8),"")</f>
        <v>87</v>
      </c>
      <c r="S19" s="73">
        <f t="array" ref="S19">IF(MOD(ROW()-ROW($G$12),3)=1,INDEX(PSAJ!R:R,INT((ROW()-ROW($G$12))/3)+8),"")</f>
        <v>87</v>
      </c>
      <c r="T19" s="73">
        <f t="array" ref="T19">IF(MOD(ROW()-ROW($G$12),3)=1,INDEX(PSAJ!S:S,INT((ROW()-ROW($G$12))/3)+8),"")</f>
        <v>87</v>
      </c>
      <c r="U19" s="73">
        <v>0</v>
      </c>
      <c r="V19" s="73">
        <f t="array" ref="V19">IF(MOD(ROW()-ROW($G$12),3)=1,INDEX(PSAJ!T:T,INT((ROW()-ROW($G$12))/3)+8),"")</f>
        <v>87</v>
      </c>
      <c r="W19" s="73">
        <f t="shared" si="7"/>
        <v>1238</v>
      </c>
      <c r="X19" s="73">
        <f>IF(MOD(ROW()-ROW($X$12),3)&lt;&gt;2,ROUND(W19/15,2),"")</f>
        <v>82.53</v>
      </c>
      <c r="Y19" s="70"/>
      <c r="Z19" s="75"/>
      <c r="AA19" s="56"/>
      <c r="AB19" s="56"/>
      <c r="AC19" s="56"/>
      <c r="AD19" s="56"/>
      <c r="AE19" s="56"/>
    </row>
    <row r="20" spans="1:31" ht="14.5">
      <c r="A20" s="70"/>
      <c r="B20" s="70"/>
      <c r="C20" s="70"/>
      <c r="D20" s="71"/>
      <c r="E20" s="70"/>
      <c r="F20" s="76" t="s">
        <v>135</v>
      </c>
      <c r="G20" s="77">
        <f t="shared" ref="G20:T20" si="8">IF(MOD(ROW()-ROW($G$12),3)=2,((INDEX(G:G,ROW()-2)*$AC$4)+(INDEX(G:G,ROW()-1)*$AE$4))/$AD$5,"")</f>
        <v>84</v>
      </c>
      <c r="H20" s="77">
        <f t="shared" si="8"/>
        <v>84.5</v>
      </c>
      <c r="I20" s="77">
        <f t="shared" si="8"/>
        <v>79</v>
      </c>
      <c r="J20" s="77">
        <f t="shared" si="8"/>
        <v>84.5</v>
      </c>
      <c r="K20" s="77">
        <f t="shared" si="8"/>
        <v>84.5</v>
      </c>
      <c r="L20" s="77">
        <f t="shared" si="8"/>
        <v>81</v>
      </c>
      <c r="M20" s="77">
        <f t="shared" si="8"/>
        <v>83.5</v>
      </c>
      <c r="N20" s="77">
        <f t="shared" si="8"/>
        <v>84</v>
      </c>
      <c r="O20" s="77">
        <f t="shared" si="8"/>
        <v>40</v>
      </c>
      <c r="P20" s="77">
        <f t="shared" si="8"/>
        <v>80.5</v>
      </c>
      <c r="Q20" s="77">
        <f t="shared" si="8"/>
        <v>80.5</v>
      </c>
      <c r="R20" s="77">
        <f t="shared" si="8"/>
        <v>82.5</v>
      </c>
      <c r="S20" s="77" t="e">
        <f t="shared" si="8"/>
        <v>#DIV/0!</v>
      </c>
      <c r="T20" s="77" t="e">
        <f t="shared" si="8"/>
        <v>#DIV/0!</v>
      </c>
      <c r="U20" s="77">
        <f t="array" ref="U20">IF(MOD(ROW()-ROW($U$12),3)=2,N(INDEX(U:U,ROW()-2)),0)</f>
        <v>0</v>
      </c>
      <c r="V20" s="77" t="e">
        <f>IF(MOD(ROW()-ROW($G$12),3)=2,((INDEX(V:V,ROW()-2)*$AC$4)+(INDEX(V:V,ROW()-1)*$AE$4))/$AD$5,"")</f>
        <v>#DIV/0!</v>
      </c>
      <c r="W20" s="77" t="e">
        <f>IF(MOD(ROW()-ROW($G$12),3)=2,((INDEX(W:W,ROW()-2)*$AC$4)+(INDEX(W:W,ROW()-1)*$AE$4))/$AD$5,"")</f>
        <v>#DIV/0!</v>
      </c>
      <c r="X20" s="77" t="e">
        <f>IF(MOD(ROW()-ROW($G$12),3)=2,((INDEX(X:X,ROW()-2)*$AC$4)+(INDEX(X:X,ROW()-1)*$AE$4))/$AD$5,"")</f>
        <v>#DIV/0!</v>
      </c>
      <c r="Y20" s="78"/>
      <c r="Z20" s="77"/>
      <c r="AA20" s="56"/>
      <c r="AB20" s="56"/>
      <c r="AC20" s="56"/>
      <c r="AD20" s="56"/>
      <c r="AE20" s="56"/>
    </row>
    <row r="21" spans="1:31" ht="14.5">
      <c r="A21" s="70">
        <f t="shared" ref="A21:A22" si="9">IF(MOD(ROW()-12,3)=0,INT((ROW()-12)/3)+1,"")</f>
        <v>4</v>
      </c>
      <c r="B21" s="70">
        <f t="array" ref="B21">IF(MOD(ROW()-ROW($B$12),3)=0,INDEX(BIODATA!B:B,INT((ROW()-ROW($B$12))/3)+24),"")</f>
        <v>0</v>
      </c>
      <c r="C21" s="70">
        <f t="array" ref="C21">IF(MOD(ROW()-ROW($B$12),3)=0,INDEX(BIODATA!C:C,INT((ROW()-ROW($B$12))/3)+24),"")</f>
        <v>0</v>
      </c>
      <c r="D21" s="71" t="str">
        <f t="array" ref="D21">IF(MOD(ROW()-ROW($B$12),3)=0,INDEX(BIODATA!D:D,INT((ROW()-ROW($B$12))/3)+24),"")</f>
        <v>AHMAD VERNANDO ZAKARIA</v>
      </c>
      <c r="E21" s="70" t="str">
        <f t="array" ref="E21">IF(MOD(ROW()-ROW($B$12),3)=0,INDEX(BIODATA!H:H,INT((ROW()-ROW($B$12))/3)+24),"")</f>
        <v>L</v>
      </c>
      <c r="F21" s="72" t="s">
        <v>134</v>
      </c>
      <c r="G21" s="73">
        <f t="array" ref="G21">IF(MOD(ROW()-ROW($G$12),3)=0,INDEX(RR!L:L,INT((ROW()-ROW($G$12))/3)+9),"")</f>
        <v>89</v>
      </c>
      <c r="H21" s="73">
        <f t="array" ref="H21">IF(MOD(ROW()-ROW($H$12),3)=0,INDEX(RR!R:R,INT((ROW()-ROW($H$12))/3)+9),"")</f>
        <v>89</v>
      </c>
      <c r="I21" s="73">
        <f t="array" ref="I21">IF(MOD(ROW()-ROW($I$12),3)=0,INDEX(RR!X:X,INT((ROW()-ROW($I$12))/3)+9),"")</f>
        <v>82</v>
      </c>
      <c r="J21" s="73">
        <f t="array" ref="J21">IF(MOD(ROW()-ROW($I$12),3)=0,INDEX(RR!AC:AC,INT((ROW()-ROW($I$12))/3)+9),"")</f>
        <v>85</v>
      </c>
      <c r="K21" s="73">
        <f t="array" ref="K21">IF(MOD(ROW()-ROW($I$12),3)=0,INDEX(RR!AH:AH,INT((ROW()-ROW($I$12))/3)+9),"")</f>
        <v>91</v>
      </c>
      <c r="L21" s="73">
        <f t="array" ref="L21">IF(MOD(ROW()-ROW($I$12),3)=0,INDEX(RR!AK:AK,INT((ROW()-ROW($I$12))/3)+9),"")</f>
        <v>83</v>
      </c>
      <c r="M21" s="73">
        <f t="array" ref="M21">IF(MOD(ROW()-ROW($I$12),3)=0,INDEX(RR!AQ:AQ,INT((ROW()-ROW($I$12))/3)+9),"")</f>
        <v>89</v>
      </c>
      <c r="N21" s="73">
        <f t="array" ref="N21">IF(MOD(ROW()-ROW($I$12),3)=0,INDEX(RR!AW:AW,INT((ROW()-ROW($I$12))/3)+9),"")</f>
        <v>79</v>
      </c>
      <c r="O21" s="73">
        <f t="array" ref="O21">IF(MOD(ROW()-ROW($I$12),3)=0,INDEX(RR!BB:BB,INT((ROW()-ROW($I$12))/3)+9),"")</f>
        <v>0</v>
      </c>
      <c r="P21" s="73">
        <f t="array" ref="P21">IF(MOD(ROW()-ROW($I$12),3)=0,INDEX(RR!BF:BF,INT((ROW()-ROW($I$12))/3)+9),"")</f>
        <v>85</v>
      </c>
      <c r="Q21" s="73">
        <f t="array" ref="Q21">IF(MOD(ROW()-ROW($I$12),3)=0,INDEX(RR!BI:BI,INT((ROW()-ROW($I$12))/3)+9),"")</f>
        <v>81</v>
      </c>
      <c r="R21" s="73">
        <f t="array" ref="R21">IF(MOD(ROW()-ROW($I$12),3)=0,INDEX(RR!BL:BL,INT((ROW()-ROW($I$12))/3)+9),"")</f>
        <v>85</v>
      </c>
      <c r="S21" s="73" t="e">
        <f t="array" ref="S21">IF(MOD(ROW()-ROW($I$12),3)=0,INDEX(RR!BP:BP,INT((ROW()-ROW($I$12))/3)+9),"")</f>
        <v>#DIV/0!</v>
      </c>
      <c r="T21" s="73" t="e">
        <f t="array" ref="T21">IF(MOD(ROW()-ROW($I$12),3)=0,INDEX(RR!BT:BT,INT((ROW()-ROW($I$12))/3)+9),"")</f>
        <v>#DIV/0!</v>
      </c>
      <c r="U21" s="73">
        <f t="array" ref="U21">IF(MOD(ROW()-ROW($I$12),3)=0,INDEX(RR!BV:BV,INT((ROW()-ROW($I$12))/3)+9),"")</f>
        <v>0</v>
      </c>
      <c r="V21" s="73" t="e">
        <f t="array" ref="V21">IF(MOD(ROW()-ROW($I$12),3)=0,INDEX(RR!BZ:BZ,INT((ROW()-ROW($I$12))/3)+9),"")</f>
        <v>#DIV/0!</v>
      </c>
      <c r="W21" s="73" t="e">
        <f t="shared" ref="W21:W22" si="10">IF(MOD(ROW()-ROW($W$12),3)&lt;&gt;2,SUM(G21:V21),"")</f>
        <v>#DIV/0!</v>
      </c>
      <c r="X21" s="73" t="e">
        <f>IF(MOD(ROW()-ROW($X$12),3)&lt;&gt;2,ROUND(W21/16,2),"")</f>
        <v>#DIV/0!</v>
      </c>
      <c r="Y21" s="70"/>
      <c r="Z21" s="74" t="e">
        <f t="array" ref="Z21">IF(MOD(ROW()-ROW($Z$12),3)=0,IF(INDEX(X:X,ROW()+2)&gt;=$AC$9,"L","TL"),"")</f>
        <v>#DIV/0!</v>
      </c>
      <c r="AA21" s="56"/>
      <c r="AB21" s="56"/>
      <c r="AC21" s="56"/>
      <c r="AD21" s="56"/>
      <c r="AE21" s="56"/>
    </row>
    <row r="22" spans="1:31" ht="14.5">
      <c r="A22" s="70" t="str">
        <f t="shared" si="9"/>
        <v/>
      </c>
      <c r="B22" s="70" t="str">
        <f t="array" ref="B22">IF(MOD(ROW()-ROW($B$12),3)=0,INDEX(BIODATA!B:B,INT((ROW()-ROW($B$12))/3)+24),"")</f>
        <v/>
      </c>
      <c r="C22" s="70"/>
      <c r="D22" s="71"/>
      <c r="E22" s="70"/>
      <c r="F22" s="72" t="s">
        <v>105</v>
      </c>
      <c r="G22" s="73">
        <f t="array" ref="G22">IF(MOD(ROW()-ROW($G$12),3)=1,INDEX(PSAJ!F:F,INT((ROW()-ROW($G$12))/3)+8),"")</f>
        <v>99</v>
      </c>
      <c r="H22" s="73">
        <f t="array" ref="H22">IF(MOD(ROW()-ROW($G$12),3)=1,INDEX(PSAJ!G:G,INT((ROW()-ROW($G$12))/3)+8),"")</f>
        <v>89</v>
      </c>
      <c r="I22" s="73">
        <f t="array" ref="I22">IF(MOD(ROW()-ROW($G$12),3)=1,INDEX(PSAJ!H:H,INT((ROW()-ROW($G$12))/3)+8),"")</f>
        <v>88</v>
      </c>
      <c r="J22" s="73">
        <f t="array" ref="J22">IF(MOD(ROW()-ROW($G$12),3)=1,INDEX(PSAJ!I:I,INT((ROW()-ROW($G$12))/3)+8),"")</f>
        <v>90</v>
      </c>
      <c r="K22" s="73">
        <f t="array" ref="K22">IF(MOD(ROW()-ROW($G$12),3)=1,INDEX(PSAJ!J:J,INT((ROW()-ROW($G$12))/3)+8),"")</f>
        <v>94</v>
      </c>
      <c r="L22" s="73">
        <f t="array" ref="L22">IF(MOD(ROW()-ROW($G$12),3)=1,INDEX(PSAJ!K:K,INT((ROW()-ROW($G$12))/3)+8),"")</f>
        <v>91</v>
      </c>
      <c r="M22" s="73">
        <f t="array" ref="M22">IF(MOD(ROW()-ROW($G$12),3)=1,INDEX(PSAJ!L:L,INT((ROW()-ROW($G$12))/3)+8),"")</f>
        <v>90</v>
      </c>
      <c r="N22" s="73">
        <f t="array" ref="N22">IF(MOD(ROW()-ROW($G$12),3)=1,INDEX(PSAJ!M:M,INT((ROW()-ROW($G$12))/3)+8),"")</f>
        <v>91</v>
      </c>
      <c r="O22" s="73">
        <f t="array" ref="O22">IF(MOD(ROW()-ROW($G$12),3)=1,INDEX(PSAJ!N:N,INT((ROW()-ROW($G$12))/3)+8),"")</f>
        <v>90</v>
      </c>
      <c r="P22" s="73">
        <f t="array" ref="P22">IF(MOD(ROW()-ROW($G$12),3)=1,INDEX(PSAJ!O:O,INT((ROW()-ROW($G$12))/3)+8),"")</f>
        <v>90</v>
      </c>
      <c r="Q22" s="73">
        <f t="array" ref="Q22">IF(MOD(ROW()-ROW($G$12),3)=1,INDEX(PSAJ!P:P,INT((ROW()-ROW($G$12))/3)+8),"")</f>
        <v>93</v>
      </c>
      <c r="R22" s="73">
        <f t="array" ref="R22">IF(MOD(ROW()-ROW($G$12),3)=1,INDEX(PSAJ!Q:Q,INT((ROW()-ROW($G$12))/3)+8),"")</f>
        <v>90</v>
      </c>
      <c r="S22" s="73">
        <f t="array" ref="S22">IF(MOD(ROW()-ROW($G$12),3)=1,INDEX(PSAJ!R:R,INT((ROW()-ROW($G$12))/3)+8),"")</f>
        <v>90</v>
      </c>
      <c r="T22" s="73">
        <f t="array" ref="T22">IF(MOD(ROW()-ROW($G$12),3)=1,INDEX(PSAJ!S:S,INT((ROW()-ROW($G$12))/3)+8),"")</f>
        <v>91</v>
      </c>
      <c r="U22" s="73">
        <v>0</v>
      </c>
      <c r="V22" s="73">
        <f t="array" ref="V22">IF(MOD(ROW()-ROW($G$12),3)=1,INDEX(PSAJ!T:T,INT((ROW()-ROW($G$12))/3)+8),"")</f>
        <v>91</v>
      </c>
      <c r="W22" s="73">
        <f t="shared" si="10"/>
        <v>1367</v>
      </c>
      <c r="X22" s="73">
        <f>IF(MOD(ROW()-ROW($X$12),3)&lt;&gt;2,ROUND(W22/15,2),"")</f>
        <v>91.13</v>
      </c>
      <c r="Y22" s="70"/>
      <c r="Z22" s="75"/>
      <c r="AA22" s="56"/>
      <c r="AB22" s="56"/>
      <c r="AC22" s="56"/>
      <c r="AD22" s="56"/>
      <c r="AE22" s="56"/>
    </row>
    <row r="23" spans="1:31" ht="14.5">
      <c r="A23" s="70"/>
      <c r="B23" s="70"/>
      <c r="C23" s="70"/>
      <c r="D23" s="71"/>
      <c r="E23" s="70"/>
      <c r="F23" s="76" t="s">
        <v>135</v>
      </c>
      <c r="G23" s="77">
        <f t="shared" ref="G23:T23" si="11">IF(MOD(ROW()-ROW($G$12),3)=2,((INDEX(G:G,ROW()-2)*$AC$4)+(INDEX(G:G,ROW()-1)*$AE$4))/$AD$5,"")</f>
        <v>94</v>
      </c>
      <c r="H23" s="77">
        <f t="shared" si="11"/>
        <v>89</v>
      </c>
      <c r="I23" s="77">
        <f t="shared" si="11"/>
        <v>85</v>
      </c>
      <c r="J23" s="77">
        <f t="shared" si="11"/>
        <v>87.5</v>
      </c>
      <c r="K23" s="77">
        <f t="shared" si="11"/>
        <v>92.5</v>
      </c>
      <c r="L23" s="77">
        <f t="shared" si="11"/>
        <v>87</v>
      </c>
      <c r="M23" s="77">
        <f t="shared" si="11"/>
        <v>89.5</v>
      </c>
      <c r="N23" s="77">
        <f t="shared" si="11"/>
        <v>85</v>
      </c>
      <c r="O23" s="77">
        <f t="shared" si="11"/>
        <v>45</v>
      </c>
      <c r="P23" s="77">
        <f t="shared" si="11"/>
        <v>87.5</v>
      </c>
      <c r="Q23" s="77">
        <f t="shared" si="11"/>
        <v>87</v>
      </c>
      <c r="R23" s="77">
        <f t="shared" si="11"/>
        <v>87.5</v>
      </c>
      <c r="S23" s="77" t="e">
        <f t="shared" si="11"/>
        <v>#DIV/0!</v>
      </c>
      <c r="T23" s="77" t="e">
        <f t="shared" si="11"/>
        <v>#DIV/0!</v>
      </c>
      <c r="U23" s="77">
        <f t="array" ref="U23">IF(MOD(ROW()-ROW($U$12),3)=2,N(INDEX(U:U,ROW()-2)),0)</f>
        <v>0</v>
      </c>
      <c r="V23" s="77" t="e">
        <f>IF(MOD(ROW()-ROW($G$12),3)=2,((INDEX(V:V,ROW()-2)*$AC$4)+(INDEX(V:V,ROW()-1)*$AE$4))/$AD$5,"")</f>
        <v>#DIV/0!</v>
      </c>
      <c r="W23" s="77" t="e">
        <f>IF(MOD(ROW()-ROW($G$12),3)=2,((INDEX(W:W,ROW()-2)*$AC$4)+(INDEX(W:W,ROW()-1)*$AE$4))/$AD$5,"")</f>
        <v>#DIV/0!</v>
      </c>
      <c r="X23" s="77" t="e">
        <f>IF(MOD(ROW()-ROW($G$12),3)=2,((INDEX(X:X,ROW()-2)*$AC$4)+(INDEX(X:X,ROW()-1)*$AE$4))/$AD$5,"")</f>
        <v>#DIV/0!</v>
      </c>
      <c r="Y23" s="78"/>
      <c r="Z23" s="77"/>
      <c r="AA23" s="56"/>
      <c r="AB23" s="56"/>
      <c r="AC23" s="56"/>
      <c r="AD23" s="56"/>
      <c r="AE23" s="56"/>
    </row>
    <row r="24" spans="1:31" ht="14.5">
      <c r="A24" s="70">
        <f t="shared" ref="A24:A25" si="12">IF(MOD(ROW()-12,3)=0,INT((ROW()-12)/3)+1,"")</f>
        <v>5</v>
      </c>
      <c r="B24" s="70">
        <f t="array" ref="B24">IF(MOD(ROW()-ROW($B$12),3)=0,INDEX(BIODATA!B:B,INT((ROW()-ROW($B$12))/3)+24),"")</f>
        <v>0</v>
      </c>
      <c r="C24" s="70">
        <f t="array" ref="C24">IF(MOD(ROW()-ROW($B$12),3)=0,INDEX(BIODATA!C:C,INT((ROW()-ROW($B$12))/3)+24),"")</f>
        <v>0</v>
      </c>
      <c r="D24" s="71" t="str">
        <f t="array" ref="D24">IF(MOD(ROW()-ROW($B$12),3)=0,INDEX(BIODATA!D:D,INT((ROW()-ROW($B$12))/3)+24),"")</f>
        <v>ALVAREZA SETIA ANGGARA</v>
      </c>
      <c r="E24" s="70" t="str">
        <f t="array" ref="E24">IF(MOD(ROW()-ROW($B$12),3)=0,INDEX(BIODATA!H:H,INT((ROW()-ROW($B$12))/3)+24),"")</f>
        <v>L</v>
      </c>
      <c r="F24" s="72" t="s">
        <v>134</v>
      </c>
      <c r="G24" s="73">
        <f t="array" ref="G24">IF(MOD(ROW()-ROW($G$12),3)=0,INDEX(RR!L:L,INT((ROW()-ROW($G$12))/3)+9),"")</f>
        <v>85</v>
      </c>
      <c r="H24" s="73">
        <f t="array" ref="H24">IF(MOD(ROW()-ROW($H$12),3)=0,INDEX(RR!R:R,INT((ROW()-ROW($H$12))/3)+9),"")</f>
        <v>78</v>
      </c>
      <c r="I24" s="73">
        <f t="array" ref="I24">IF(MOD(ROW()-ROW($I$12),3)=0,INDEX(RR!X:X,INT((ROW()-ROW($I$12))/3)+9),"")</f>
        <v>80</v>
      </c>
      <c r="J24" s="73">
        <f t="array" ref="J24">IF(MOD(ROW()-ROW($I$12),3)=0,INDEX(RR!AC:AC,INT((ROW()-ROW($I$12))/3)+9),"")</f>
        <v>86</v>
      </c>
      <c r="K24" s="73">
        <f t="array" ref="K24">IF(MOD(ROW()-ROW($I$12),3)=0,INDEX(RR!AH:AH,INT((ROW()-ROW($I$12))/3)+9),"")</f>
        <v>87</v>
      </c>
      <c r="L24" s="73">
        <f t="array" ref="L24">IF(MOD(ROW()-ROW($I$12),3)=0,INDEX(RR!AK:AK,INT((ROW()-ROW($I$12))/3)+9),"")</f>
        <v>85</v>
      </c>
      <c r="M24" s="73">
        <f t="array" ref="M24">IF(MOD(ROW()-ROW($I$12),3)=0,INDEX(RR!AQ:AQ,INT((ROW()-ROW($I$12))/3)+9),"")</f>
        <v>85</v>
      </c>
      <c r="N24" s="73">
        <f t="array" ref="N24">IF(MOD(ROW()-ROW($I$12),3)=0,INDEX(RR!AW:AW,INT((ROW()-ROW($I$12))/3)+9),"")</f>
        <v>79</v>
      </c>
      <c r="O24" s="73">
        <f t="array" ref="O24">IF(MOD(ROW()-ROW($I$12),3)=0,INDEX(RR!BB:BB,INT((ROW()-ROW($I$12))/3)+9),"")</f>
        <v>0</v>
      </c>
      <c r="P24" s="73">
        <f t="array" ref="P24">IF(MOD(ROW()-ROW($I$12),3)=0,INDEX(RR!BF:BF,INT((ROW()-ROW($I$12))/3)+9),"")</f>
        <v>88.333333333333343</v>
      </c>
      <c r="Q24" s="73">
        <f t="array" ref="Q24">IF(MOD(ROW()-ROW($I$12),3)=0,INDEX(RR!BI:BI,INT((ROW()-ROW($I$12))/3)+9),"")</f>
        <v>81</v>
      </c>
      <c r="R24" s="73">
        <f t="array" ref="R24">IF(MOD(ROW()-ROW($I$12),3)=0,INDEX(RR!BL:BL,INT((ROW()-ROW($I$12))/3)+9),"")</f>
        <v>88.333333333333343</v>
      </c>
      <c r="S24" s="73" t="e">
        <f t="array" ref="S24">IF(MOD(ROW()-ROW($I$12),3)=0,INDEX(RR!BP:BP,INT((ROW()-ROW($I$12))/3)+9),"")</f>
        <v>#DIV/0!</v>
      </c>
      <c r="T24" s="73" t="e">
        <f t="array" ref="T24">IF(MOD(ROW()-ROW($I$12),3)=0,INDEX(RR!BT:BT,INT((ROW()-ROW($I$12))/3)+9),"")</f>
        <v>#DIV/0!</v>
      </c>
      <c r="U24" s="73">
        <f t="array" ref="U24">IF(MOD(ROW()-ROW($I$12),3)=0,INDEX(RR!BV:BV,INT((ROW()-ROW($I$12))/3)+9),"")</f>
        <v>0</v>
      </c>
      <c r="V24" s="73" t="e">
        <f t="array" ref="V24">IF(MOD(ROW()-ROW($I$12),3)=0,INDEX(RR!BZ:BZ,INT((ROW()-ROW($I$12))/3)+9),"")</f>
        <v>#DIV/0!</v>
      </c>
      <c r="W24" s="73" t="e">
        <f t="shared" ref="W24:W25" si="13">IF(MOD(ROW()-ROW($W$12),3)&lt;&gt;2,SUM(G24:V24),"")</f>
        <v>#DIV/0!</v>
      </c>
      <c r="X24" s="73" t="e">
        <f>IF(MOD(ROW()-ROW($X$12),3)&lt;&gt;2,ROUND(W24/16,2),"")</f>
        <v>#DIV/0!</v>
      </c>
      <c r="Y24" s="70"/>
      <c r="Z24" s="74" t="e">
        <f t="array" ref="Z24">IF(MOD(ROW()-ROW($Z$12),3)=0,IF(INDEX(X:X,ROW()+2)&gt;=$AC$9,"L","TL"),"")</f>
        <v>#DIV/0!</v>
      </c>
      <c r="AA24" s="56"/>
      <c r="AB24" s="56"/>
      <c r="AC24" s="56"/>
      <c r="AD24" s="56"/>
      <c r="AE24" s="56"/>
    </row>
    <row r="25" spans="1:31" ht="14.5">
      <c r="A25" s="70" t="str">
        <f t="shared" si="12"/>
        <v/>
      </c>
      <c r="B25" s="70" t="str">
        <f t="array" ref="B25">IF(MOD(ROW()-ROW($B$12),3)=0,INDEX(BIODATA!B:B,INT((ROW()-ROW($B$12))/3)+24),"")</f>
        <v/>
      </c>
      <c r="C25" s="70"/>
      <c r="D25" s="71"/>
      <c r="E25" s="70"/>
      <c r="F25" s="72" t="s">
        <v>105</v>
      </c>
      <c r="G25" s="73">
        <f t="array" ref="G25">IF(MOD(ROW()-ROW($G$12),3)=1,INDEX(PSAJ!F:F,INT((ROW()-ROW($G$12))/3)+8),"")</f>
        <v>85</v>
      </c>
      <c r="H25" s="73">
        <f t="array" ref="H25">IF(MOD(ROW()-ROW($G$12),3)=1,INDEX(PSAJ!G:G,INT((ROW()-ROW($G$12))/3)+8),"")</f>
        <v>85</v>
      </c>
      <c r="I25" s="73">
        <f t="array" ref="I25">IF(MOD(ROW()-ROW($G$12),3)=1,INDEX(PSAJ!H:H,INT((ROW()-ROW($G$12))/3)+8),"")</f>
        <v>78</v>
      </c>
      <c r="J25" s="73">
        <f t="array" ref="J25">IF(MOD(ROW()-ROW($G$12),3)=1,INDEX(PSAJ!I:I,INT((ROW()-ROW($G$12))/3)+8),"")</f>
        <v>80</v>
      </c>
      <c r="K25" s="73">
        <f t="array" ref="K25">IF(MOD(ROW()-ROW($G$12),3)=1,INDEX(PSAJ!J:J,INT((ROW()-ROW($G$12))/3)+8),"")</f>
        <v>85</v>
      </c>
      <c r="L25" s="73">
        <f t="array" ref="L25">IF(MOD(ROW()-ROW($G$12),3)=1,INDEX(PSAJ!K:K,INT((ROW()-ROW($G$12))/3)+8),"")</f>
        <v>81</v>
      </c>
      <c r="M25" s="73">
        <f t="array" ref="M25">IF(MOD(ROW()-ROW($G$12),3)=1,INDEX(PSAJ!L:L,INT((ROW()-ROW($G$12))/3)+8),"")</f>
        <v>80</v>
      </c>
      <c r="N25" s="73">
        <f t="array" ref="N25">IF(MOD(ROW()-ROW($G$12),3)=1,INDEX(PSAJ!M:M,INT((ROW()-ROW($G$12))/3)+8),"")</f>
        <v>82</v>
      </c>
      <c r="O25" s="73">
        <f t="array" ref="O25">IF(MOD(ROW()-ROW($G$12),3)=1,INDEX(PSAJ!N:N,INT((ROW()-ROW($G$12))/3)+8),"")</f>
        <v>80</v>
      </c>
      <c r="P25" s="73">
        <f t="array" ref="P25">IF(MOD(ROW()-ROW($G$12),3)=1,INDEX(PSAJ!O:O,INT((ROW()-ROW($G$12))/3)+8),"")</f>
        <v>81</v>
      </c>
      <c r="Q25" s="73">
        <f t="array" ref="Q25">IF(MOD(ROW()-ROW($G$12),3)=1,INDEX(PSAJ!P:P,INT((ROW()-ROW($G$12))/3)+8),"")</f>
        <v>84</v>
      </c>
      <c r="R25" s="73">
        <f t="array" ref="R25">IF(MOD(ROW()-ROW($G$12),3)=1,INDEX(PSAJ!Q:Q,INT((ROW()-ROW($G$12))/3)+8),"")</f>
        <v>82</v>
      </c>
      <c r="S25" s="73">
        <f t="array" ref="S25">IF(MOD(ROW()-ROW($G$12),3)=1,INDEX(PSAJ!R:R,INT((ROW()-ROW($G$12))/3)+8),"")</f>
        <v>84</v>
      </c>
      <c r="T25" s="73">
        <f t="array" ref="T25">IF(MOD(ROW()-ROW($G$12),3)=1,INDEX(PSAJ!S:S,INT((ROW()-ROW($G$12))/3)+8),"")</f>
        <v>82</v>
      </c>
      <c r="U25" s="73">
        <v>0</v>
      </c>
      <c r="V25" s="73">
        <f t="array" ref="V25">IF(MOD(ROW()-ROW($G$12),3)=1,INDEX(PSAJ!T:T,INT((ROW()-ROW($G$12))/3)+8),"")</f>
        <v>82</v>
      </c>
      <c r="W25" s="73">
        <f t="shared" si="13"/>
        <v>1231</v>
      </c>
      <c r="X25" s="73">
        <f>IF(MOD(ROW()-ROW($X$12),3)&lt;&gt;2,ROUND(W25/15,2),"")</f>
        <v>82.07</v>
      </c>
      <c r="Y25" s="70"/>
      <c r="Z25" s="75"/>
      <c r="AA25" s="56"/>
      <c r="AB25" s="56"/>
      <c r="AC25" s="56"/>
      <c r="AD25" s="56"/>
      <c r="AE25" s="56"/>
    </row>
    <row r="26" spans="1:31" ht="14.5">
      <c r="A26" s="70"/>
      <c r="B26" s="70"/>
      <c r="C26" s="70"/>
      <c r="D26" s="71"/>
      <c r="E26" s="70"/>
      <c r="F26" s="76" t="s">
        <v>135</v>
      </c>
      <c r="G26" s="77">
        <f t="shared" ref="G26:T26" si="14">IF(MOD(ROW()-ROW($G$12),3)=2,((INDEX(G:G,ROW()-2)*$AC$4)+(INDEX(G:G,ROW()-1)*$AE$4))/$AD$5,"")</f>
        <v>85</v>
      </c>
      <c r="H26" s="77">
        <f t="shared" si="14"/>
        <v>81.5</v>
      </c>
      <c r="I26" s="77">
        <f t="shared" si="14"/>
        <v>79</v>
      </c>
      <c r="J26" s="77">
        <f t="shared" si="14"/>
        <v>83</v>
      </c>
      <c r="K26" s="77">
        <f t="shared" si="14"/>
        <v>86</v>
      </c>
      <c r="L26" s="77">
        <f t="shared" si="14"/>
        <v>83</v>
      </c>
      <c r="M26" s="77">
        <f t="shared" si="14"/>
        <v>82.5</v>
      </c>
      <c r="N26" s="77">
        <f t="shared" si="14"/>
        <v>80.5</v>
      </c>
      <c r="O26" s="77">
        <f t="shared" si="14"/>
        <v>40</v>
      </c>
      <c r="P26" s="77">
        <f t="shared" si="14"/>
        <v>84.666666666666686</v>
      </c>
      <c r="Q26" s="77">
        <f t="shared" si="14"/>
        <v>82.5</v>
      </c>
      <c r="R26" s="77">
        <f t="shared" si="14"/>
        <v>85.166666666666686</v>
      </c>
      <c r="S26" s="77" t="e">
        <f t="shared" si="14"/>
        <v>#DIV/0!</v>
      </c>
      <c r="T26" s="77" t="e">
        <f t="shared" si="14"/>
        <v>#DIV/0!</v>
      </c>
      <c r="U26" s="77">
        <f t="array" ref="U26">IF(MOD(ROW()-ROW($U$12),3)=2,N(INDEX(U:U,ROW()-2)),0)</f>
        <v>0</v>
      </c>
      <c r="V26" s="77" t="e">
        <f>IF(MOD(ROW()-ROW($G$12),3)=2,((INDEX(V:V,ROW()-2)*$AC$4)+(INDEX(V:V,ROW()-1)*$AE$4))/$AD$5,"")</f>
        <v>#DIV/0!</v>
      </c>
      <c r="W26" s="77" t="e">
        <f>IF(MOD(ROW()-ROW($G$12),3)=2,((INDEX(W:W,ROW()-2)*$AC$4)+(INDEX(W:W,ROW()-1)*$AE$4))/$AD$5,"")</f>
        <v>#DIV/0!</v>
      </c>
      <c r="X26" s="77" t="e">
        <f>IF(MOD(ROW()-ROW($G$12),3)=2,((INDEX(X:X,ROW()-2)*$AC$4)+(INDEX(X:X,ROW()-1)*$AE$4))/$AD$5,"")</f>
        <v>#DIV/0!</v>
      </c>
      <c r="Y26" s="78"/>
      <c r="Z26" s="77"/>
      <c r="AA26" s="56"/>
      <c r="AB26" s="56"/>
      <c r="AC26" s="56"/>
      <c r="AD26" s="56"/>
      <c r="AE26" s="56"/>
    </row>
    <row r="27" spans="1:31" ht="14.5">
      <c r="A27" s="70">
        <f t="shared" ref="A27:A28" si="15">IF(MOD(ROW()-12,3)=0,INT((ROW()-12)/3)+1,"")</f>
        <v>6</v>
      </c>
      <c r="B27" s="70">
        <f t="array" ref="B27">IF(MOD(ROW()-ROW($B$12),3)=0,INDEX(BIODATA!B:B,INT((ROW()-ROW($B$12))/3)+24),"")</f>
        <v>0</v>
      </c>
      <c r="C27" s="70">
        <f t="array" ref="C27">IF(MOD(ROW()-ROW($B$12),3)=0,INDEX(BIODATA!C:C,INT((ROW()-ROW($B$12))/3)+24),"")</f>
        <v>0</v>
      </c>
      <c r="D27" s="71" t="str">
        <f t="array" ref="D27">IF(MOD(ROW()-ROW($B$12),3)=0,INDEX(BIODATA!D:D,INT((ROW()-ROW($B$12))/3)+24),"")</f>
        <v>ARSYAD ADITIA WIYONO</v>
      </c>
      <c r="E27" s="70" t="str">
        <f t="array" ref="E27">IF(MOD(ROW()-ROW($B$12),3)=0,INDEX(BIODATA!H:H,INT((ROW()-ROW($B$12))/3)+24),"")</f>
        <v>L</v>
      </c>
      <c r="F27" s="72" t="s">
        <v>134</v>
      </c>
      <c r="G27" s="73">
        <f t="array" ref="G27">IF(MOD(ROW()-ROW($G$12),3)=0,INDEX(RR!L:L,INT((ROW()-ROW($G$12))/3)+9),"")</f>
        <v>83</v>
      </c>
      <c r="H27" s="73">
        <f t="array" ref="H27">IF(MOD(ROW()-ROW($H$12),3)=0,INDEX(RR!R:R,INT((ROW()-ROW($H$12))/3)+9),"")</f>
        <v>88</v>
      </c>
      <c r="I27" s="73">
        <f t="array" ref="I27">IF(MOD(ROW()-ROW($I$12),3)=0,INDEX(RR!X:X,INT((ROW()-ROW($I$12))/3)+9),"")</f>
        <v>82</v>
      </c>
      <c r="J27" s="73">
        <f t="array" ref="J27">IF(MOD(ROW()-ROW($I$12),3)=0,INDEX(RR!AC:AC,INT((ROW()-ROW($I$12))/3)+9),"")</f>
        <v>87</v>
      </c>
      <c r="K27" s="73">
        <f t="array" ref="K27">IF(MOD(ROW()-ROW($I$12),3)=0,INDEX(RR!AH:AH,INT((ROW()-ROW($I$12))/3)+9),"")</f>
        <v>85</v>
      </c>
      <c r="L27" s="73">
        <f t="array" ref="L27">IF(MOD(ROW()-ROW($I$12),3)=0,INDEX(RR!AK:AK,INT((ROW()-ROW($I$12))/3)+9),"")</f>
        <v>80</v>
      </c>
      <c r="M27" s="73">
        <f t="array" ref="M27">IF(MOD(ROW()-ROW($I$12),3)=0,INDEX(RR!AQ:AQ,INT((ROW()-ROW($I$12))/3)+9),"")</f>
        <v>83</v>
      </c>
      <c r="N27" s="73">
        <f t="array" ref="N27">IF(MOD(ROW()-ROW($I$12),3)=0,INDEX(RR!AW:AW,INT((ROW()-ROW($I$12))/3)+9),"")</f>
        <v>80</v>
      </c>
      <c r="O27" s="73">
        <f t="array" ref="O27">IF(MOD(ROW()-ROW($I$12),3)=0,INDEX(RR!BB:BB,INT((ROW()-ROW($I$12))/3)+9),"")</f>
        <v>0</v>
      </c>
      <c r="P27" s="73">
        <f t="array" ref="P27">IF(MOD(ROW()-ROW($I$12),3)=0,INDEX(RR!BF:BF,INT((ROW()-ROW($I$12))/3)+9),"")</f>
        <v>82.666666666666657</v>
      </c>
      <c r="Q27" s="73">
        <f t="array" ref="Q27">IF(MOD(ROW()-ROW($I$12),3)=0,INDEX(RR!BI:BI,INT((ROW()-ROW($I$12))/3)+9),"")</f>
        <v>81</v>
      </c>
      <c r="R27" s="73">
        <f t="array" ref="R27">IF(MOD(ROW()-ROW($I$12),3)=0,INDEX(RR!BL:BL,INT((ROW()-ROW($I$12))/3)+9),"")</f>
        <v>82.666666666666657</v>
      </c>
      <c r="S27" s="73" t="e">
        <f t="array" ref="S27">IF(MOD(ROW()-ROW($I$12),3)=0,INDEX(RR!BP:BP,INT((ROW()-ROW($I$12))/3)+9),"")</f>
        <v>#DIV/0!</v>
      </c>
      <c r="T27" s="73" t="e">
        <f t="array" ref="T27">IF(MOD(ROW()-ROW($I$12),3)=0,INDEX(RR!BT:BT,INT((ROW()-ROW($I$12))/3)+9),"")</f>
        <v>#DIV/0!</v>
      </c>
      <c r="U27" s="73">
        <f t="array" ref="U27">IF(MOD(ROW()-ROW($I$12),3)=0,INDEX(RR!BV:BV,INT((ROW()-ROW($I$12))/3)+9),"")</f>
        <v>0</v>
      </c>
      <c r="V27" s="73" t="e">
        <f t="array" ref="V27">IF(MOD(ROW()-ROW($I$12),3)=0,INDEX(RR!BZ:BZ,INT((ROW()-ROW($I$12))/3)+9),"")</f>
        <v>#DIV/0!</v>
      </c>
      <c r="W27" s="73" t="e">
        <f t="shared" ref="W27:W28" si="16">IF(MOD(ROW()-ROW($W$12),3)&lt;&gt;2,SUM(G27:V27),"")</f>
        <v>#DIV/0!</v>
      </c>
      <c r="X27" s="73" t="e">
        <f>IF(MOD(ROW()-ROW($X$12),3)&lt;&gt;2,ROUND(W27/16,2),"")</f>
        <v>#DIV/0!</v>
      </c>
      <c r="Y27" s="70"/>
      <c r="Z27" s="74" t="e">
        <f t="array" ref="Z27">IF(MOD(ROW()-ROW($Z$12),3)=0,IF(INDEX(X:X,ROW()+2)&gt;=$AC$9,"L","TL"),"")</f>
        <v>#DIV/0!</v>
      </c>
      <c r="AA27" s="56"/>
      <c r="AB27" s="56"/>
      <c r="AC27" s="56"/>
      <c r="AD27" s="56"/>
      <c r="AE27" s="56"/>
    </row>
    <row r="28" spans="1:31" ht="14.5">
      <c r="A28" s="70" t="str">
        <f t="shared" si="15"/>
        <v/>
      </c>
      <c r="B28" s="70" t="str">
        <f t="array" ref="B28">IF(MOD(ROW()-ROW($B$12),3)=0,INDEX(BIODATA!B:B,INT((ROW()-ROW($B$12))/3)+24),"")</f>
        <v/>
      </c>
      <c r="C28" s="70"/>
      <c r="D28" s="71"/>
      <c r="E28" s="70"/>
      <c r="F28" s="72" t="s">
        <v>105</v>
      </c>
      <c r="G28" s="73">
        <f t="array" ref="G28">IF(MOD(ROW()-ROW($G$12),3)=1,INDEX(PSAJ!F:F,INT((ROW()-ROW($G$12))/3)+8),"")</f>
        <v>78</v>
      </c>
      <c r="H28" s="73">
        <f t="array" ref="H28">IF(MOD(ROW()-ROW($G$12),3)=1,INDEX(PSAJ!G:G,INT((ROW()-ROW($G$12))/3)+8),"")</f>
        <v>80</v>
      </c>
      <c r="I28" s="73">
        <f t="array" ref="I28">IF(MOD(ROW()-ROW($G$12),3)=1,INDEX(PSAJ!H:H,INT((ROW()-ROW($G$12))/3)+8),"")</f>
        <v>81</v>
      </c>
      <c r="J28" s="73">
        <f t="array" ref="J28">IF(MOD(ROW()-ROW($G$12),3)=1,INDEX(PSAJ!I:I,INT((ROW()-ROW($G$12))/3)+8),"")</f>
        <v>80</v>
      </c>
      <c r="K28" s="73">
        <f t="array" ref="K28">IF(MOD(ROW()-ROW($G$12),3)=1,INDEX(PSAJ!J:J,INT((ROW()-ROW($G$12))/3)+8),"")</f>
        <v>79</v>
      </c>
      <c r="L28" s="73">
        <f t="array" ref="L28">IF(MOD(ROW()-ROW($G$12),3)=1,INDEX(PSAJ!K:K,INT((ROW()-ROW($G$12))/3)+8),"")</f>
        <v>79</v>
      </c>
      <c r="M28" s="73">
        <f t="array" ref="M28">IF(MOD(ROW()-ROW($G$12),3)=1,INDEX(PSAJ!L:L,INT((ROW()-ROW($G$12))/3)+8),"")</f>
        <v>80</v>
      </c>
      <c r="N28" s="73">
        <f t="array" ref="N28">IF(MOD(ROW()-ROW($G$12),3)=1,INDEX(PSAJ!M:M,INT((ROW()-ROW($G$12))/3)+8),"")</f>
        <v>78</v>
      </c>
      <c r="O28" s="73">
        <f t="array" ref="O28">IF(MOD(ROW()-ROW($G$12),3)=1,INDEX(PSAJ!N:N,INT((ROW()-ROW($G$12))/3)+8),"")</f>
        <v>78</v>
      </c>
      <c r="P28" s="73">
        <f t="array" ref="P28">IF(MOD(ROW()-ROW($G$12),3)=1,INDEX(PSAJ!O:O,INT((ROW()-ROW($G$12))/3)+8),"")</f>
        <v>78</v>
      </c>
      <c r="Q28" s="73">
        <f t="array" ref="Q28">IF(MOD(ROW()-ROW($G$12),3)=1,INDEX(PSAJ!P:P,INT((ROW()-ROW($G$12))/3)+8),"")</f>
        <v>78</v>
      </c>
      <c r="R28" s="73">
        <f t="array" ref="R28">IF(MOD(ROW()-ROW($G$12),3)=1,INDEX(PSAJ!Q:Q,INT((ROW()-ROW($G$12))/3)+8),"")</f>
        <v>81</v>
      </c>
      <c r="S28" s="73">
        <f t="array" ref="S28">IF(MOD(ROW()-ROW($G$12),3)=1,INDEX(PSAJ!R:R,INT((ROW()-ROW($G$12))/3)+8),"")</f>
        <v>80</v>
      </c>
      <c r="T28" s="73">
        <f t="array" ref="T28">IF(MOD(ROW()-ROW($G$12),3)=1,INDEX(PSAJ!S:S,INT((ROW()-ROW($G$12))/3)+8),"")</f>
        <v>80</v>
      </c>
      <c r="U28" s="73">
        <v>0</v>
      </c>
      <c r="V28" s="73">
        <f t="array" ref="V28">IF(MOD(ROW()-ROW($G$12),3)=1,INDEX(PSAJ!T:T,INT((ROW()-ROW($G$12))/3)+8),"")</f>
        <v>80</v>
      </c>
      <c r="W28" s="73">
        <f t="shared" si="16"/>
        <v>1190</v>
      </c>
      <c r="X28" s="73">
        <f>IF(MOD(ROW()-ROW($X$12),3)&lt;&gt;2,ROUND(W28/15,2),"")</f>
        <v>79.33</v>
      </c>
      <c r="Y28" s="70"/>
      <c r="Z28" s="75"/>
      <c r="AA28" s="56"/>
      <c r="AB28" s="56"/>
      <c r="AC28" s="56"/>
      <c r="AD28" s="56"/>
      <c r="AE28" s="56"/>
    </row>
    <row r="29" spans="1:31" ht="14.5">
      <c r="A29" s="70"/>
      <c r="B29" s="70"/>
      <c r="C29" s="70"/>
      <c r="D29" s="71"/>
      <c r="E29" s="70"/>
      <c r="F29" s="76" t="s">
        <v>135</v>
      </c>
      <c r="G29" s="77">
        <f t="shared" ref="G29:T29" si="17">IF(MOD(ROW()-ROW($G$12),3)=2,((INDEX(G:G,ROW()-2)*$AC$4)+(INDEX(G:G,ROW()-1)*$AE$4))/$AD$5,"")</f>
        <v>80.5</v>
      </c>
      <c r="H29" s="77">
        <f t="shared" si="17"/>
        <v>84</v>
      </c>
      <c r="I29" s="77">
        <f t="shared" si="17"/>
        <v>81.5</v>
      </c>
      <c r="J29" s="77">
        <f t="shared" si="17"/>
        <v>83.5</v>
      </c>
      <c r="K29" s="77">
        <f t="shared" si="17"/>
        <v>82</v>
      </c>
      <c r="L29" s="77">
        <f t="shared" si="17"/>
        <v>79.5</v>
      </c>
      <c r="M29" s="77">
        <f t="shared" si="17"/>
        <v>81.5</v>
      </c>
      <c r="N29" s="77">
        <f t="shared" si="17"/>
        <v>79</v>
      </c>
      <c r="O29" s="77">
        <f t="shared" si="17"/>
        <v>39</v>
      </c>
      <c r="P29" s="77">
        <f t="shared" si="17"/>
        <v>80.333333333333329</v>
      </c>
      <c r="Q29" s="77">
        <f t="shared" si="17"/>
        <v>79.5</v>
      </c>
      <c r="R29" s="77">
        <f t="shared" si="17"/>
        <v>81.833333333333329</v>
      </c>
      <c r="S29" s="77" t="e">
        <f t="shared" si="17"/>
        <v>#DIV/0!</v>
      </c>
      <c r="T29" s="77" t="e">
        <f t="shared" si="17"/>
        <v>#DIV/0!</v>
      </c>
      <c r="U29" s="77">
        <f t="array" ref="U29">IF(MOD(ROW()-ROW($U$12),3)=2,N(INDEX(U:U,ROW()-2)),0)</f>
        <v>0</v>
      </c>
      <c r="V29" s="77" t="e">
        <f>IF(MOD(ROW()-ROW($G$12),3)=2,((INDEX(V:V,ROW()-2)*$AC$4)+(INDEX(V:V,ROW()-1)*$AE$4))/$AD$5,"")</f>
        <v>#DIV/0!</v>
      </c>
      <c r="W29" s="77" t="e">
        <f>IF(MOD(ROW()-ROW($G$12),3)=2,((INDEX(W:W,ROW()-2)*$AC$4)+(INDEX(W:W,ROW()-1)*$AE$4))/$AD$5,"")</f>
        <v>#DIV/0!</v>
      </c>
      <c r="X29" s="77" t="e">
        <f>IF(MOD(ROW()-ROW($G$12),3)=2,((INDEX(X:X,ROW()-2)*$AC$4)+(INDEX(X:X,ROW()-1)*$AE$4))/$AD$5,"")</f>
        <v>#DIV/0!</v>
      </c>
      <c r="Y29" s="78"/>
      <c r="Z29" s="77"/>
      <c r="AA29" s="56"/>
      <c r="AB29" s="56"/>
      <c r="AC29" s="56"/>
      <c r="AD29" s="56"/>
      <c r="AE29" s="56"/>
    </row>
    <row r="30" spans="1:31" ht="14.5">
      <c r="A30" s="70">
        <f t="shared" ref="A30:A31" si="18">IF(MOD(ROW()-12,3)=0,INT((ROW()-12)/3)+1,"")</f>
        <v>7</v>
      </c>
      <c r="B30" s="70">
        <f t="array" ref="B30">IF(MOD(ROW()-ROW($B$12),3)=0,INDEX(BIODATA!B:B,INT((ROW()-ROW($B$12))/3)+24),"")</f>
        <v>0</v>
      </c>
      <c r="C30" s="70">
        <f t="array" ref="C30">IF(MOD(ROW()-ROW($B$12),3)=0,INDEX(BIODATA!C:C,INT((ROW()-ROW($B$12))/3)+24),"")</f>
        <v>0</v>
      </c>
      <c r="D30" s="71" t="str">
        <f t="array" ref="D30">IF(MOD(ROW()-ROW($B$12),3)=0,INDEX(BIODATA!D:D,INT((ROW()-ROW($B$12))/3)+24),"")</f>
        <v>AULIYA ROHMAN AL BAIHAQI</v>
      </c>
      <c r="E30" s="70" t="str">
        <f t="array" ref="E30">IF(MOD(ROW()-ROW($B$12),3)=0,INDEX(BIODATA!H:H,INT((ROW()-ROW($B$12))/3)+24),"")</f>
        <v>L</v>
      </c>
      <c r="F30" s="72" t="s">
        <v>134</v>
      </c>
      <c r="G30" s="73">
        <f t="array" ref="G30">IF(MOD(ROW()-ROW($G$12),3)=0,INDEX(RR!L:L,INT((ROW()-ROW($G$12))/3)+9),"")</f>
        <v>84</v>
      </c>
      <c r="H30" s="73">
        <f t="array" ref="H30">IF(MOD(ROW()-ROW($H$12),3)=0,INDEX(RR!R:R,INT((ROW()-ROW($H$12))/3)+9),"")</f>
        <v>78</v>
      </c>
      <c r="I30" s="73">
        <f t="array" ref="I30">IF(MOD(ROW()-ROW($I$12),3)=0,INDEX(RR!X:X,INT((ROW()-ROW($I$12))/3)+9),"")</f>
        <v>82</v>
      </c>
      <c r="J30" s="73">
        <f t="array" ref="J30">IF(MOD(ROW()-ROW($I$12),3)=0,INDEX(RR!AC:AC,INT((ROW()-ROW($I$12))/3)+9),"")</f>
        <v>89</v>
      </c>
      <c r="K30" s="73">
        <f t="array" ref="K30">IF(MOD(ROW()-ROW($I$12),3)=0,INDEX(RR!AH:AH,INT((ROW()-ROW($I$12))/3)+9),"")</f>
        <v>86</v>
      </c>
      <c r="L30" s="73">
        <f t="array" ref="L30">IF(MOD(ROW()-ROW($I$12),3)=0,INDEX(RR!AK:AK,INT((ROW()-ROW($I$12))/3)+9),"")</f>
        <v>80</v>
      </c>
      <c r="M30" s="73">
        <f t="array" ref="M30">IF(MOD(ROW()-ROW($I$12),3)=0,INDEX(RR!AQ:AQ,INT((ROW()-ROW($I$12))/3)+9),"")</f>
        <v>84</v>
      </c>
      <c r="N30" s="73">
        <f t="array" ref="N30">IF(MOD(ROW()-ROW($I$12),3)=0,INDEX(RR!AW:AW,INT((ROW()-ROW($I$12))/3)+9),"")</f>
        <v>80</v>
      </c>
      <c r="O30" s="73">
        <f t="array" ref="O30">IF(MOD(ROW()-ROW($I$12),3)=0,INDEX(RR!BB:BB,INT((ROW()-ROW($I$12))/3)+9),"")</f>
        <v>0</v>
      </c>
      <c r="P30" s="73">
        <f t="array" ref="P30">IF(MOD(ROW()-ROW($I$12),3)=0,INDEX(RR!BF:BF,INT((ROW()-ROW($I$12))/3)+9),"")</f>
        <v>78</v>
      </c>
      <c r="Q30" s="73">
        <f t="array" ref="Q30">IF(MOD(ROW()-ROW($I$12),3)=0,INDEX(RR!BI:BI,INT((ROW()-ROW($I$12))/3)+9),"")</f>
        <v>81</v>
      </c>
      <c r="R30" s="73">
        <f t="array" ref="R30">IF(MOD(ROW()-ROW($I$12),3)=0,INDEX(RR!BL:BL,INT((ROW()-ROW($I$12))/3)+9),"")</f>
        <v>78</v>
      </c>
      <c r="S30" s="73" t="e">
        <f t="array" ref="S30">IF(MOD(ROW()-ROW($I$12),3)=0,INDEX(RR!BP:BP,INT((ROW()-ROW($I$12))/3)+9),"")</f>
        <v>#DIV/0!</v>
      </c>
      <c r="T30" s="73" t="e">
        <f t="array" ref="T30">IF(MOD(ROW()-ROW($I$12),3)=0,INDEX(RR!BT:BT,INT((ROW()-ROW($I$12))/3)+9),"")</f>
        <v>#DIV/0!</v>
      </c>
      <c r="U30" s="73">
        <f t="array" ref="U30">IF(MOD(ROW()-ROW($I$12),3)=0,INDEX(RR!BV:BV,INT((ROW()-ROW($I$12))/3)+9),"")</f>
        <v>0</v>
      </c>
      <c r="V30" s="73" t="e">
        <f t="array" ref="V30">IF(MOD(ROW()-ROW($I$12),3)=0,INDEX(RR!BZ:BZ,INT((ROW()-ROW($I$12))/3)+9),"")</f>
        <v>#DIV/0!</v>
      </c>
      <c r="W30" s="73" t="e">
        <f t="shared" ref="W30:W31" si="19">IF(MOD(ROW()-ROW($W$12),3)&lt;&gt;2,SUM(G30:V30),"")</f>
        <v>#DIV/0!</v>
      </c>
      <c r="X30" s="73" t="e">
        <f>IF(MOD(ROW()-ROW($X$12),3)&lt;&gt;2,ROUND(W30/16,2),"")</f>
        <v>#DIV/0!</v>
      </c>
      <c r="Y30" s="70"/>
      <c r="Z30" s="74" t="e">
        <f t="array" ref="Z30">IF(MOD(ROW()-ROW($Z$12),3)=0,IF(INDEX(X:X,ROW()+2)&gt;=$AC$9,"L","TL"),"")</f>
        <v>#DIV/0!</v>
      </c>
      <c r="AA30" s="56"/>
      <c r="AB30" s="56"/>
      <c r="AC30" s="56"/>
      <c r="AD30" s="56"/>
      <c r="AE30" s="56"/>
    </row>
    <row r="31" spans="1:31" ht="14.5">
      <c r="A31" s="70" t="str">
        <f t="shared" si="18"/>
        <v/>
      </c>
      <c r="B31" s="70" t="str">
        <f t="array" ref="B31">IF(MOD(ROW()-ROW($B$12),3)=0,INDEX(BIODATA!B:B,INT((ROW()-ROW($B$12))/3)+24),"")</f>
        <v/>
      </c>
      <c r="C31" s="70"/>
      <c r="D31" s="71"/>
      <c r="E31" s="70"/>
      <c r="F31" s="72" t="s">
        <v>105</v>
      </c>
      <c r="G31" s="73">
        <f t="array" ref="G31">IF(MOD(ROW()-ROW($G$12),3)=1,INDEX(PSAJ!F:F,INT((ROW()-ROW($G$12))/3)+8),"")</f>
        <v>78</v>
      </c>
      <c r="H31" s="73">
        <f t="array" ref="H31">IF(MOD(ROW()-ROW($G$12),3)=1,INDEX(PSAJ!G:G,INT((ROW()-ROW($G$12))/3)+8),"")</f>
        <v>78</v>
      </c>
      <c r="I31" s="73">
        <f t="array" ref="I31">IF(MOD(ROW()-ROW($G$12),3)=1,INDEX(PSAJ!H:H,INT((ROW()-ROW($G$12))/3)+8),"")</f>
        <v>82</v>
      </c>
      <c r="J31" s="73">
        <f t="array" ref="J31">IF(MOD(ROW()-ROW($G$12),3)=1,INDEX(PSAJ!I:I,INT((ROW()-ROW($G$12))/3)+8),"")</f>
        <v>78</v>
      </c>
      <c r="K31" s="73">
        <f t="array" ref="K31">IF(MOD(ROW()-ROW($G$12),3)=1,INDEX(PSAJ!J:J,INT((ROW()-ROW($G$12))/3)+8),"")</f>
        <v>78</v>
      </c>
      <c r="L31" s="73">
        <f t="array" ref="L31">IF(MOD(ROW()-ROW($G$12),3)=1,INDEX(PSAJ!K:K,INT((ROW()-ROW($G$12))/3)+8),"")</f>
        <v>79</v>
      </c>
      <c r="M31" s="73">
        <f t="array" ref="M31">IF(MOD(ROW()-ROW($G$12),3)=1,INDEX(PSAJ!L:L,INT((ROW()-ROW($G$12))/3)+8),"")</f>
        <v>78</v>
      </c>
      <c r="N31" s="73">
        <f t="array" ref="N31">IF(MOD(ROW()-ROW($G$12),3)=1,INDEX(PSAJ!M:M,INT((ROW()-ROW($G$12))/3)+8),"")</f>
        <v>78</v>
      </c>
      <c r="O31" s="73">
        <f t="array" ref="O31">IF(MOD(ROW()-ROW($G$12),3)=1,INDEX(PSAJ!N:N,INT((ROW()-ROW($G$12))/3)+8),"")</f>
        <v>78</v>
      </c>
      <c r="P31" s="73">
        <f t="array" ref="P31">IF(MOD(ROW()-ROW($G$12),3)=1,INDEX(PSAJ!O:O,INT((ROW()-ROW($G$12))/3)+8),"")</f>
        <v>78</v>
      </c>
      <c r="Q31" s="73">
        <f t="array" ref="Q31">IF(MOD(ROW()-ROW($G$12),3)=1,INDEX(PSAJ!P:P,INT((ROW()-ROW($G$12))/3)+8),"")</f>
        <v>77</v>
      </c>
      <c r="R31" s="73">
        <f t="array" ref="R31">IF(MOD(ROW()-ROW($G$12),3)=1,INDEX(PSAJ!Q:Q,INT((ROW()-ROW($G$12))/3)+8),"")</f>
        <v>82</v>
      </c>
      <c r="S31" s="73">
        <f t="array" ref="S31">IF(MOD(ROW()-ROW($G$12),3)=1,INDEX(PSAJ!R:R,INT((ROW()-ROW($G$12))/3)+8),"")</f>
        <v>84</v>
      </c>
      <c r="T31" s="73">
        <f t="array" ref="T31">IF(MOD(ROW()-ROW($G$12),3)=1,INDEX(PSAJ!S:S,INT((ROW()-ROW($G$12))/3)+8),"")</f>
        <v>78</v>
      </c>
      <c r="U31" s="73">
        <v>0</v>
      </c>
      <c r="V31" s="73">
        <f t="array" ref="V31">IF(MOD(ROW()-ROW($G$12),3)=1,INDEX(PSAJ!T:T,INT((ROW()-ROW($G$12))/3)+8),"")</f>
        <v>78</v>
      </c>
      <c r="W31" s="73">
        <f t="shared" si="19"/>
        <v>1184</v>
      </c>
      <c r="X31" s="73">
        <f>IF(MOD(ROW()-ROW($X$12),3)&lt;&gt;2,ROUND(W31/15,2),"")</f>
        <v>78.930000000000007</v>
      </c>
      <c r="Y31" s="70"/>
      <c r="Z31" s="75"/>
      <c r="AA31" s="56"/>
      <c r="AB31" s="56"/>
      <c r="AC31" s="56"/>
      <c r="AD31" s="56"/>
      <c r="AE31" s="56"/>
    </row>
    <row r="32" spans="1:31" ht="14.5">
      <c r="A32" s="70"/>
      <c r="B32" s="70"/>
      <c r="C32" s="70"/>
      <c r="D32" s="71"/>
      <c r="E32" s="70"/>
      <c r="F32" s="76" t="s">
        <v>135</v>
      </c>
      <c r="G32" s="77">
        <f t="shared" ref="G32:T32" si="20">IF(MOD(ROW()-ROW($G$12),3)=2,((INDEX(G:G,ROW()-2)*$AC$4)+(INDEX(G:G,ROW()-1)*$AE$4))/$AD$5,"")</f>
        <v>81</v>
      </c>
      <c r="H32" s="77">
        <f t="shared" si="20"/>
        <v>78</v>
      </c>
      <c r="I32" s="77">
        <f t="shared" si="20"/>
        <v>82</v>
      </c>
      <c r="J32" s="77">
        <f t="shared" si="20"/>
        <v>83.5</v>
      </c>
      <c r="K32" s="77">
        <f t="shared" si="20"/>
        <v>82</v>
      </c>
      <c r="L32" s="77">
        <f t="shared" si="20"/>
        <v>79.5</v>
      </c>
      <c r="M32" s="77">
        <f t="shared" si="20"/>
        <v>81</v>
      </c>
      <c r="N32" s="77">
        <f t="shared" si="20"/>
        <v>79</v>
      </c>
      <c r="O32" s="77">
        <f t="shared" si="20"/>
        <v>39</v>
      </c>
      <c r="P32" s="77">
        <f t="shared" si="20"/>
        <v>78</v>
      </c>
      <c r="Q32" s="77">
        <f t="shared" si="20"/>
        <v>79</v>
      </c>
      <c r="R32" s="77">
        <f t="shared" si="20"/>
        <v>80</v>
      </c>
      <c r="S32" s="77" t="e">
        <f t="shared" si="20"/>
        <v>#DIV/0!</v>
      </c>
      <c r="T32" s="77" t="e">
        <f t="shared" si="20"/>
        <v>#DIV/0!</v>
      </c>
      <c r="U32" s="77">
        <f t="array" ref="U32">IF(MOD(ROW()-ROW($U$12),3)=2,N(INDEX(U:U,ROW()-2)),0)</f>
        <v>0</v>
      </c>
      <c r="V32" s="77" t="e">
        <f>IF(MOD(ROW()-ROW($G$12),3)=2,((INDEX(V:V,ROW()-2)*$AC$4)+(INDEX(V:V,ROW()-1)*$AE$4))/$AD$5,"")</f>
        <v>#DIV/0!</v>
      </c>
      <c r="W32" s="77" t="e">
        <f>IF(MOD(ROW()-ROW($G$12),3)=2,((INDEX(W:W,ROW()-2)*$AC$4)+(INDEX(W:W,ROW()-1)*$AE$4))/$AD$5,"")</f>
        <v>#DIV/0!</v>
      </c>
      <c r="X32" s="77" t="e">
        <f>IF(MOD(ROW()-ROW($G$12),3)=2,((INDEX(X:X,ROW()-2)*$AC$4)+(INDEX(X:X,ROW()-1)*$AE$4))/$AD$5,"")</f>
        <v>#DIV/0!</v>
      </c>
      <c r="Y32" s="78"/>
      <c r="Z32" s="77"/>
      <c r="AA32" s="56"/>
      <c r="AB32" s="56"/>
      <c r="AC32" s="56"/>
      <c r="AD32" s="56"/>
      <c r="AE32" s="56"/>
    </row>
    <row r="33" spans="1:31" ht="14.5">
      <c r="A33" s="70">
        <f t="shared" ref="A33:A34" si="21">IF(MOD(ROW()-12,3)=0,INT((ROW()-12)/3)+1,"")</f>
        <v>8</v>
      </c>
      <c r="B33" s="70">
        <f t="array" ref="B33">IF(MOD(ROW()-ROW($B$12),3)=0,INDEX(BIODATA!B:B,INT((ROW()-ROW($B$12))/3)+24),"")</f>
        <v>0</v>
      </c>
      <c r="C33" s="70">
        <f t="array" ref="C33">IF(MOD(ROW()-ROW($B$12),3)=0,INDEX(BIODATA!C:C,INT((ROW()-ROW($B$12))/3)+24),"")</f>
        <v>0</v>
      </c>
      <c r="D33" s="71" t="str">
        <f t="array" ref="D33">IF(MOD(ROW()-ROW($B$12),3)=0,INDEX(BIODATA!D:D,INT((ROW()-ROW($B$12))/3)+24),"")</f>
        <v>AZIZUL HILMI FIRDAUS</v>
      </c>
      <c r="E33" s="70" t="str">
        <f t="array" ref="E33">IF(MOD(ROW()-ROW($B$12),3)=0,INDEX(BIODATA!H:H,INT((ROW()-ROW($B$12))/3)+24),"")</f>
        <v>L</v>
      </c>
      <c r="F33" s="72" t="s">
        <v>134</v>
      </c>
      <c r="G33" s="73">
        <f t="array" ref="G33">IF(MOD(ROW()-ROW($G$12),3)=0,INDEX(RR!L:L,INT((ROW()-ROW($G$12))/3)+9),"")</f>
        <v>85</v>
      </c>
      <c r="H33" s="73">
        <f t="array" ref="H33">IF(MOD(ROW()-ROW($H$12),3)=0,INDEX(RR!R:R,INT((ROW()-ROW($H$12))/3)+9),"")</f>
        <v>78</v>
      </c>
      <c r="I33" s="73">
        <f t="array" ref="I33">IF(MOD(ROW()-ROW($I$12),3)=0,INDEX(RR!X:X,INT((ROW()-ROW($I$12))/3)+9),"")</f>
        <v>82</v>
      </c>
      <c r="J33" s="73">
        <f t="array" ref="J33">IF(MOD(ROW()-ROW($I$12),3)=0,INDEX(RR!AC:AC,INT((ROW()-ROW($I$12))/3)+9),"")</f>
        <v>87</v>
      </c>
      <c r="K33" s="73">
        <f t="array" ref="K33">IF(MOD(ROW()-ROW($I$12),3)=0,INDEX(RR!AH:AH,INT((ROW()-ROW($I$12))/3)+9),"")</f>
        <v>87</v>
      </c>
      <c r="L33" s="73">
        <f t="array" ref="L33">IF(MOD(ROW()-ROW($I$12),3)=0,INDEX(RR!AK:AK,INT((ROW()-ROW($I$12))/3)+9),"")</f>
        <v>90</v>
      </c>
      <c r="M33" s="73">
        <f t="array" ref="M33">IF(MOD(ROW()-ROW($I$12),3)=0,INDEX(RR!AQ:AQ,INT((ROW()-ROW($I$12))/3)+9),"")</f>
        <v>85</v>
      </c>
      <c r="N33" s="73">
        <f t="array" ref="N33">IF(MOD(ROW()-ROW($I$12),3)=0,INDEX(RR!AW:AW,INT((ROW()-ROW($I$12))/3)+9),"")</f>
        <v>79</v>
      </c>
      <c r="O33" s="73">
        <f t="array" ref="O33">IF(MOD(ROW()-ROW($I$12),3)=0,INDEX(RR!BB:BB,INT((ROW()-ROW($I$12))/3)+9),"")</f>
        <v>0</v>
      </c>
      <c r="P33" s="73">
        <f t="array" ref="P33">IF(MOD(ROW()-ROW($I$12),3)=0,INDEX(RR!BF:BF,INT((ROW()-ROW($I$12))/3)+9),"")</f>
        <v>78</v>
      </c>
      <c r="Q33" s="73">
        <f t="array" ref="Q33">IF(MOD(ROW()-ROW($I$12),3)=0,INDEX(RR!BI:BI,INT((ROW()-ROW($I$12))/3)+9),"")</f>
        <v>82</v>
      </c>
      <c r="R33" s="73">
        <f t="array" ref="R33">IF(MOD(ROW()-ROW($I$12),3)=0,INDEX(RR!BL:BL,INT((ROW()-ROW($I$12))/3)+9),"")</f>
        <v>78</v>
      </c>
      <c r="S33" s="73" t="e">
        <f t="array" ref="S33">IF(MOD(ROW()-ROW($I$12),3)=0,INDEX(RR!BP:BP,INT((ROW()-ROW($I$12))/3)+9),"")</f>
        <v>#DIV/0!</v>
      </c>
      <c r="T33" s="73" t="e">
        <f t="array" ref="T33">IF(MOD(ROW()-ROW($I$12),3)=0,INDEX(RR!BT:BT,INT((ROW()-ROW($I$12))/3)+9),"")</f>
        <v>#DIV/0!</v>
      </c>
      <c r="U33" s="73">
        <f t="array" ref="U33">IF(MOD(ROW()-ROW($I$12),3)=0,INDEX(RR!BV:BV,INT((ROW()-ROW($I$12))/3)+9),"")</f>
        <v>0</v>
      </c>
      <c r="V33" s="73" t="e">
        <f t="array" ref="V33">IF(MOD(ROW()-ROW($I$12),3)=0,INDEX(RR!BZ:BZ,INT((ROW()-ROW($I$12))/3)+9),"")</f>
        <v>#DIV/0!</v>
      </c>
      <c r="W33" s="73" t="e">
        <f t="shared" ref="W33:W34" si="22">IF(MOD(ROW()-ROW($W$12),3)&lt;&gt;2,SUM(G33:V33),"")</f>
        <v>#DIV/0!</v>
      </c>
      <c r="X33" s="73" t="e">
        <f>IF(MOD(ROW()-ROW($X$12),3)&lt;&gt;2,ROUND(W33/16,2),"")</f>
        <v>#DIV/0!</v>
      </c>
      <c r="Y33" s="70"/>
      <c r="Z33" s="74" t="e">
        <f t="array" ref="Z33">IF(MOD(ROW()-ROW($Z$12),3)=0,IF(INDEX(X:X,ROW()+2)&gt;=$AC$9,"L","TL"),"")</f>
        <v>#DIV/0!</v>
      </c>
      <c r="AA33" s="56"/>
      <c r="AB33" s="56"/>
      <c r="AC33" s="56"/>
      <c r="AD33" s="56"/>
      <c r="AE33" s="56"/>
    </row>
    <row r="34" spans="1:31" ht="14.5">
      <c r="A34" s="70" t="str">
        <f t="shared" si="21"/>
        <v/>
      </c>
      <c r="B34" s="70" t="str">
        <f t="array" ref="B34">IF(MOD(ROW()-ROW($B$12),3)=0,INDEX(BIODATA!B:B,INT((ROW()-ROW($B$12))/3)+24),"")</f>
        <v/>
      </c>
      <c r="C34" s="70"/>
      <c r="D34" s="71"/>
      <c r="E34" s="70"/>
      <c r="F34" s="72" t="s">
        <v>105</v>
      </c>
      <c r="G34" s="73">
        <f t="array" ref="G34">IF(MOD(ROW()-ROW($G$12),3)=1,INDEX(PSAJ!F:F,INT((ROW()-ROW($G$12))/3)+8),"")</f>
        <v>78</v>
      </c>
      <c r="H34" s="73">
        <f t="array" ref="H34">IF(MOD(ROW()-ROW($G$12),3)=1,INDEX(PSAJ!G:G,INT((ROW()-ROW($G$12))/3)+8),"")</f>
        <v>85</v>
      </c>
      <c r="I34" s="73">
        <f t="array" ref="I34">IF(MOD(ROW()-ROW($G$12),3)=1,INDEX(PSAJ!H:H,INT((ROW()-ROW($G$12))/3)+8),"")</f>
        <v>86</v>
      </c>
      <c r="J34" s="73">
        <f t="array" ref="J34">IF(MOD(ROW()-ROW($G$12),3)=1,INDEX(PSAJ!I:I,INT((ROW()-ROW($G$12))/3)+8),"")</f>
        <v>85</v>
      </c>
      <c r="K34" s="73">
        <f t="array" ref="K34">IF(MOD(ROW()-ROW($G$12),3)=1,INDEX(PSAJ!J:J,INT((ROW()-ROW($G$12))/3)+8),"")</f>
        <v>81</v>
      </c>
      <c r="L34" s="73">
        <f t="array" ref="L34">IF(MOD(ROW()-ROW($G$12),3)=1,INDEX(PSAJ!K:K,INT((ROW()-ROW($G$12))/3)+8),"")</f>
        <v>82</v>
      </c>
      <c r="M34" s="73">
        <f t="array" ref="M34">IF(MOD(ROW()-ROW($G$12),3)=1,INDEX(PSAJ!L:L,INT((ROW()-ROW($G$12))/3)+8),"")</f>
        <v>85</v>
      </c>
      <c r="N34" s="73">
        <f t="array" ref="N34">IF(MOD(ROW()-ROW($G$12),3)=1,INDEX(PSAJ!M:M,INT((ROW()-ROW($G$12))/3)+8),"")</f>
        <v>78</v>
      </c>
      <c r="O34" s="73">
        <f t="array" ref="O34">IF(MOD(ROW()-ROW($G$12),3)=1,INDEX(PSAJ!N:N,INT((ROW()-ROW($G$12))/3)+8),"")</f>
        <v>78</v>
      </c>
      <c r="P34" s="73">
        <f t="array" ref="P34">IF(MOD(ROW()-ROW($G$12),3)=1,INDEX(PSAJ!O:O,INT((ROW()-ROW($G$12))/3)+8),"")</f>
        <v>78</v>
      </c>
      <c r="Q34" s="73">
        <f t="array" ref="Q34">IF(MOD(ROW()-ROW($G$12),3)=1,INDEX(PSAJ!P:P,INT((ROW()-ROW($G$12))/3)+8),"")</f>
        <v>80</v>
      </c>
      <c r="R34" s="73">
        <f t="array" ref="R34">IF(MOD(ROW()-ROW($G$12),3)=1,INDEX(PSAJ!Q:Q,INT((ROW()-ROW($G$12))/3)+8),"")</f>
        <v>86</v>
      </c>
      <c r="S34" s="73">
        <f t="array" ref="S34">IF(MOD(ROW()-ROW($G$12),3)=1,INDEX(PSAJ!R:R,INT((ROW()-ROW($G$12))/3)+8),"")</f>
        <v>87</v>
      </c>
      <c r="T34" s="73">
        <f t="array" ref="T34">IF(MOD(ROW()-ROW($G$12),3)=1,INDEX(PSAJ!S:S,INT((ROW()-ROW($G$12))/3)+8),"")</f>
        <v>85</v>
      </c>
      <c r="U34" s="73">
        <v>0</v>
      </c>
      <c r="V34" s="73">
        <f t="array" ref="V34">IF(MOD(ROW()-ROW($G$12),3)=1,INDEX(PSAJ!T:T,INT((ROW()-ROW($G$12))/3)+8),"")</f>
        <v>85</v>
      </c>
      <c r="W34" s="73">
        <f t="shared" si="22"/>
        <v>1239</v>
      </c>
      <c r="X34" s="73">
        <f>IF(MOD(ROW()-ROW($X$12),3)&lt;&gt;2,ROUND(W34/15,2),"")</f>
        <v>82.6</v>
      </c>
      <c r="Y34" s="70"/>
      <c r="Z34" s="75"/>
      <c r="AA34" s="56"/>
      <c r="AB34" s="56"/>
      <c r="AC34" s="56"/>
      <c r="AD34" s="56"/>
      <c r="AE34" s="56"/>
    </row>
    <row r="35" spans="1:31" ht="14.5">
      <c r="A35" s="70"/>
      <c r="B35" s="70"/>
      <c r="C35" s="70"/>
      <c r="D35" s="71"/>
      <c r="E35" s="70"/>
      <c r="F35" s="76" t="s">
        <v>135</v>
      </c>
      <c r="G35" s="77">
        <f t="shared" ref="G35:T35" si="23">IF(MOD(ROW()-ROW($G$12),3)=2,((INDEX(G:G,ROW()-2)*$AC$4)+(INDEX(G:G,ROW()-1)*$AE$4))/$AD$5,"")</f>
        <v>81.5</v>
      </c>
      <c r="H35" s="77">
        <f t="shared" si="23"/>
        <v>81.5</v>
      </c>
      <c r="I35" s="77">
        <f t="shared" si="23"/>
        <v>84</v>
      </c>
      <c r="J35" s="77">
        <f t="shared" si="23"/>
        <v>86</v>
      </c>
      <c r="K35" s="77">
        <f t="shared" si="23"/>
        <v>84</v>
      </c>
      <c r="L35" s="77">
        <f t="shared" si="23"/>
        <v>86</v>
      </c>
      <c r="M35" s="77">
        <f t="shared" si="23"/>
        <v>85</v>
      </c>
      <c r="N35" s="77">
        <f t="shared" si="23"/>
        <v>78.5</v>
      </c>
      <c r="O35" s="77">
        <f t="shared" si="23"/>
        <v>39</v>
      </c>
      <c r="P35" s="77">
        <f t="shared" si="23"/>
        <v>78</v>
      </c>
      <c r="Q35" s="77">
        <f t="shared" si="23"/>
        <v>81</v>
      </c>
      <c r="R35" s="77">
        <f t="shared" si="23"/>
        <v>82</v>
      </c>
      <c r="S35" s="77" t="e">
        <f t="shared" si="23"/>
        <v>#DIV/0!</v>
      </c>
      <c r="T35" s="77" t="e">
        <f t="shared" si="23"/>
        <v>#DIV/0!</v>
      </c>
      <c r="U35" s="77">
        <f t="array" ref="U35">IF(MOD(ROW()-ROW($U$12),3)=2,N(INDEX(U:U,ROW()-2)),0)</f>
        <v>0</v>
      </c>
      <c r="V35" s="77" t="e">
        <f>IF(MOD(ROW()-ROW($G$12),3)=2,((INDEX(V:V,ROW()-2)*$AC$4)+(INDEX(V:V,ROW()-1)*$AE$4))/$AD$5,"")</f>
        <v>#DIV/0!</v>
      </c>
      <c r="W35" s="77" t="e">
        <f>IF(MOD(ROW()-ROW($G$12),3)=2,((INDEX(W:W,ROW()-2)*$AC$4)+(INDEX(W:W,ROW()-1)*$AE$4))/$AD$5,"")</f>
        <v>#DIV/0!</v>
      </c>
      <c r="X35" s="77" t="e">
        <f>IF(MOD(ROW()-ROW($G$12),3)=2,((INDEX(X:X,ROW()-2)*$AC$4)+(INDEX(X:X,ROW()-1)*$AE$4))/$AD$5,"")</f>
        <v>#DIV/0!</v>
      </c>
      <c r="Y35" s="78"/>
      <c r="Z35" s="77"/>
      <c r="AA35" s="56"/>
      <c r="AB35" s="56"/>
      <c r="AC35" s="56"/>
      <c r="AD35" s="56"/>
      <c r="AE35" s="56"/>
    </row>
    <row r="36" spans="1:31" ht="14.5">
      <c r="A36" s="70">
        <f t="shared" ref="A36:A37" si="24">IF(MOD(ROW()-12,3)=0,INT((ROW()-12)/3)+1,"")</f>
        <v>9</v>
      </c>
      <c r="B36" s="70">
        <f t="array" ref="B36">IF(MOD(ROW()-ROW($B$12),3)=0,INDEX(BIODATA!B:B,INT((ROW()-ROW($B$12))/3)+24),"")</f>
        <v>0</v>
      </c>
      <c r="C36" s="70">
        <f t="array" ref="C36">IF(MOD(ROW()-ROW($B$12),3)=0,INDEX(BIODATA!C:C,INT((ROW()-ROW($B$12))/3)+24),"")</f>
        <v>0</v>
      </c>
      <c r="D36" s="71" t="str">
        <f t="array" ref="D36">IF(MOD(ROW()-ROW($B$12),3)=0,INDEX(BIODATA!D:D,INT((ROW()-ROW($B$12))/3)+24),"")</f>
        <v>DENILSEN ZAUSA OCTAVIANUS HERMANTO</v>
      </c>
      <c r="E36" s="70" t="str">
        <f t="array" ref="E36">IF(MOD(ROW()-ROW($B$12),3)=0,INDEX(BIODATA!H:H,INT((ROW()-ROW($B$12))/3)+24),"")</f>
        <v>L</v>
      </c>
      <c r="F36" s="72" t="s">
        <v>134</v>
      </c>
      <c r="G36" s="73">
        <f t="array" ref="G36">IF(MOD(ROW()-ROW($G$12),3)=0,INDEX(RR!L:L,INT((ROW()-ROW($G$12))/3)+9),"")</f>
        <v>80</v>
      </c>
      <c r="H36" s="73">
        <f t="array" ref="H36">IF(MOD(ROW()-ROW($H$12),3)=0,INDEX(RR!R:R,INT((ROW()-ROW($H$12))/3)+9),"")</f>
        <v>78</v>
      </c>
      <c r="I36" s="73">
        <f t="array" ref="I36">IF(MOD(ROW()-ROW($I$12),3)=0,INDEX(RR!X:X,INT((ROW()-ROW($I$12))/3)+9),"")</f>
        <v>82</v>
      </c>
      <c r="J36" s="73">
        <f t="array" ref="J36">IF(MOD(ROW()-ROW($I$12),3)=0,INDEX(RR!AC:AC,INT((ROW()-ROW($I$12))/3)+9),"")</f>
        <v>88</v>
      </c>
      <c r="K36" s="73">
        <f t="array" ref="K36">IF(MOD(ROW()-ROW($I$12),3)=0,INDEX(RR!AH:AH,INT((ROW()-ROW($I$12))/3)+9),"")</f>
        <v>82</v>
      </c>
      <c r="L36" s="73">
        <f t="array" ref="L36">IF(MOD(ROW()-ROW($I$12),3)=0,INDEX(RR!AK:AK,INT((ROW()-ROW($I$12))/3)+9),"")</f>
        <v>85</v>
      </c>
      <c r="M36" s="73">
        <f t="array" ref="M36">IF(MOD(ROW()-ROW($I$12),3)=0,INDEX(RR!AQ:AQ,INT((ROW()-ROW($I$12))/3)+9),"")</f>
        <v>80</v>
      </c>
      <c r="N36" s="73">
        <f t="array" ref="N36">IF(MOD(ROW()-ROW($I$12),3)=0,INDEX(RR!AW:AW,INT((ROW()-ROW($I$12))/3)+9),"")</f>
        <v>79</v>
      </c>
      <c r="O36" s="73">
        <f t="array" ref="O36">IF(MOD(ROW()-ROW($I$12),3)=0,INDEX(RR!BB:BB,INT((ROW()-ROW($I$12))/3)+9),"")</f>
        <v>0</v>
      </c>
      <c r="P36" s="73">
        <f t="array" ref="P36">IF(MOD(ROW()-ROW($I$12),3)=0,INDEX(RR!BF:BF,INT((ROW()-ROW($I$12))/3)+9),"")</f>
        <v>78</v>
      </c>
      <c r="Q36" s="73">
        <f t="array" ref="Q36">IF(MOD(ROW()-ROW($I$12),3)=0,INDEX(RR!BI:BI,INT((ROW()-ROW($I$12))/3)+9),"")</f>
        <v>82</v>
      </c>
      <c r="R36" s="73">
        <f t="array" ref="R36">IF(MOD(ROW()-ROW($I$12),3)=0,INDEX(RR!BL:BL,INT((ROW()-ROW($I$12))/3)+9),"")</f>
        <v>78</v>
      </c>
      <c r="S36" s="73" t="e">
        <f t="array" ref="S36">IF(MOD(ROW()-ROW($I$12),3)=0,INDEX(RR!BP:BP,INT((ROW()-ROW($I$12))/3)+9),"")</f>
        <v>#DIV/0!</v>
      </c>
      <c r="T36" s="73" t="e">
        <f t="array" ref="T36">IF(MOD(ROW()-ROW($I$12),3)=0,INDEX(RR!BT:BT,INT((ROW()-ROW($I$12))/3)+9),"")</f>
        <v>#DIV/0!</v>
      </c>
      <c r="U36" s="73">
        <f t="array" ref="U36">IF(MOD(ROW()-ROW($I$12),3)=0,INDEX(RR!BV:BV,INT((ROW()-ROW($I$12))/3)+9),"")</f>
        <v>0</v>
      </c>
      <c r="V36" s="73" t="e">
        <f t="array" ref="V36">IF(MOD(ROW()-ROW($I$12),3)=0,INDEX(RR!BZ:BZ,INT((ROW()-ROW($I$12))/3)+9),"")</f>
        <v>#DIV/0!</v>
      </c>
      <c r="W36" s="73" t="e">
        <f t="shared" ref="W36:W37" si="25">IF(MOD(ROW()-ROW($W$12),3)&lt;&gt;2,SUM(G36:V36),"")</f>
        <v>#DIV/0!</v>
      </c>
      <c r="X36" s="73" t="e">
        <f>IF(MOD(ROW()-ROW($X$12),3)&lt;&gt;2,ROUND(W36/16,2),"")</f>
        <v>#DIV/0!</v>
      </c>
      <c r="Y36" s="70"/>
      <c r="Z36" s="74" t="e">
        <f t="array" ref="Z36">IF(MOD(ROW()-ROW($Z$12),3)=0,IF(INDEX(X:X,ROW()+2)&gt;=$AC$9,"L","TL"),"")</f>
        <v>#DIV/0!</v>
      </c>
      <c r="AA36" s="56"/>
      <c r="AB36" s="56"/>
      <c r="AC36" s="56"/>
      <c r="AD36" s="56"/>
      <c r="AE36" s="56"/>
    </row>
    <row r="37" spans="1:31" ht="14.5">
      <c r="A37" s="70" t="str">
        <f t="shared" si="24"/>
        <v/>
      </c>
      <c r="B37" s="70" t="str">
        <f t="array" ref="B37">IF(MOD(ROW()-ROW($B$12),3)=0,INDEX(BIODATA!B:B,INT((ROW()-ROW($B$12))/3)+24),"")</f>
        <v/>
      </c>
      <c r="C37" s="70"/>
      <c r="D37" s="71"/>
      <c r="E37" s="70"/>
      <c r="F37" s="72" t="s">
        <v>105</v>
      </c>
      <c r="G37" s="73">
        <f t="array" ref="G37">IF(MOD(ROW()-ROW($G$12),3)=1,INDEX(PSAJ!F:F,INT((ROW()-ROW($G$12))/3)+8),"")</f>
        <v>82</v>
      </c>
      <c r="H37" s="73">
        <f t="array" ref="H37">IF(MOD(ROW()-ROW($G$12),3)=1,INDEX(PSAJ!G:G,INT((ROW()-ROW($G$12))/3)+8),"")</f>
        <v>85</v>
      </c>
      <c r="I37" s="73">
        <f t="array" ref="I37">IF(MOD(ROW()-ROW($G$12),3)=1,INDEX(PSAJ!H:H,INT((ROW()-ROW($G$12))/3)+8),"")</f>
        <v>86</v>
      </c>
      <c r="J37" s="73">
        <f t="array" ref="J37">IF(MOD(ROW()-ROW($G$12),3)=1,INDEX(PSAJ!I:I,INT((ROW()-ROW($G$12))/3)+8),"")</f>
        <v>85</v>
      </c>
      <c r="K37" s="73">
        <f t="array" ref="K37">IF(MOD(ROW()-ROW($G$12),3)=1,INDEX(PSAJ!J:J,INT((ROW()-ROW($G$12))/3)+8),"")</f>
        <v>83</v>
      </c>
      <c r="L37" s="73">
        <f t="array" ref="L37">IF(MOD(ROW()-ROW($G$12),3)=1,INDEX(PSAJ!K:K,INT((ROW()-ROW($G$12))/3)+8),"")</f>
        <v>84</v>
      </c>
      <c r="M37" s="73">
        <f t="array" ref="M37">IF(MOD(ROW()-ROW($G$12),3)=1,INDEX(PSAJ!L:L,INT((ROW()-ROW($G$12))/3)+8),"")</f>
        <v>85</v>
      </c>
      <c r="N37" s="73">
        <f t="array" ref="N37">IF(MOD(ROW()-ROW($G$12),3)=1,INDEX(PSAJ!M:M,INT((ROW()-ROW($G$12))/3)+8),"")</f>
        <v>82</v>
      </c>
      <c r="O37" s="73">
        <f t="array" ref="O37">IF(MOD(ROW()-ROW($G$12),3)=1,INDEX(PSAJ!N:N,INT((ROW()-ROW($G$12))/3)+8),"")</f>
        <v>82</v>
      </c>
      <c r="P37" s="73">
        <f t="array" ref="P37">IF(MOD(ROW()-ROW($G$12),3)=1,INDEX(PSAJ!O:O,INT((ROW()-ROW($G$12))/3)+8),"")</f>
        <v>82</v>
      </c>
      <c r="Q37" s="73">
        <f t="array" ref="Q37">IF(MOD(ROW()-ROW($G$12),3)=1,INDEX(PSAJ!P:P,INT((ROW()-ROW($G$12))/3)+8),"")</f>
        <v>82</v>
      </c>
      <c r="R37" s="73">
        <f t="array" ref="R37">IF(MOD(ROW()-ROW($G$12),3)=1,INDEX(PSAJ!Q:Q,INT((ROW()-ROW($G$12))/3)+8),"")</f>
        <v>86</v>
      </c>
      <c r="S37" s="73">
        <f t="array" ref="S37">IF(MOD(ROW()-ROW($G$12),3)=1,INDEX(PSAJ!R:R,INT((ROW()-ROW($G$12))/3)+8),"")</f>
        <v>85</v>
      </c>
      <c r="T37" s="73">
        <f t="array" ref="T37">IF(MOD(ROW()-ROW($G$12),3)=1,INDEX(PSAJ!S:S,INT((ROW()-ROW($G$12))/3)+8),"")</f>
        <v>85</v>
      </c>
      <c r="U37" s="73">
        <v>0</v>
      </c>
      <c r="V37" s="73">
        <f t="array" ref="V37">IF(MOD(ROW()-ROW($G$12),3)=1,INDEX(PSAJ!T:T,INT((ROW()-ROW($G$12))/3)+8),"")</f>
        <v>85</v>
      </c>
      <c r="W37" s="73">
        <f t="shared" si="25"/>
        <v>1259</v>
      </c>
      <c r="X37" s="73">
        <f>IF(MOD(ROW()-ROW($X$12),3)&lt;&gt;2,ROUND(W37/15,2),"")</f>
        <v>83.93</v>
      </c>
      <c r="Y37" s="70"/>
      <c r="Z37" s="75"/>
      <c r="AA37" s="56"/>
      <c r="AB37" s="56"/>
      <c r="AC37" s="56"/>
      <c r="AD37" s="56"/>
      <c r="AE37" s="56"/>
    </row>
    <row r="38" spans="1:31" ht="14.5">
      <c r="A38" s="70"/>
      <c r="B38" s="70"/>
      <c r="C38" s="70"/>
      <c r="D38" s="71"/>
      <c r="E38" s="70"/>
      <c r="F38" s="76" t="s">
        <v>135</v>
      </c>
      <c r="G38" s="77">
        <f t="shared" ref="G38:T38" si="26">IF(MOD(ROW()-ROW($G$12),3)=2,((INDEX(G:G,ROW()-2)*$AC$4)+(INDEX(G:G,ROW()-1)*$AE$4))/$AD$5,"")</f>
        <v>81</v>
      </c>
      <c r="H38" s="77">
        <f t="shared" si="26"/>
        <v>81.5</v>
      </c>
      <c r="I38" s="77">
        <f t="shared" si="26"/>
        <v>84</v>
      </c>
      <c r="J38" s="77">
        <f t="shared" si="26"/>
        <v>86.5</v>
      </c>
      <c r="K38" s="77">
        <f t="shared" si="26"/>
        <v>82.5</v>
      </c>
      <c r="L38" s="77">
        <f t="shared" si="26"/>
        <v>84.5</v>
      </c>
      <c r="M38" s="77">
        <f t="shared" si="26"/>
        <v>82.5</v>
      </c>
      <c r="N38" s="77">
        <f t="shared" si="26"/>
        <v>80.5</v>
      </c>
      <c r="O38" s="77">
        <f t="shared" si="26"/>
        <v>41</v>
      </c>
      <c r="P38" s="77">
        <f t="shared" si="26"/>
        <v>80</v>
      </c>
      <c r="Q38" s="77">
        <f t="shared" si="26"/>
        <v>82</v>
      </c>
      <c r="R38" s="77">
        <f t="shared" si="26"/>
        <v>82</v>
      </c>
      <c r="S38" s="77" t="e">
        <f t="shared" si="26"/>
        <v>#DIV/0!</v>
      </c>
      <c r="T38" s="77" t="e">
        <f t="shared" si="26"/>
        <v>#DIV/0!</v>
      </c>
      <c r="U38" s="77">
        <f t="array" ref="U38">IF(MOD(ROW()-ROW($U$12),3)=2,N(INDEX(U:U,ROW()-2)),0)</f>
        <v>0</v>
      </c>
      <c r="V38" s="77" t="e">
        <f>IF(MOD(ROW()-ROW($G$12),3)=2,((INDEX(V:V,ROW()-2)*$AC$4)+(INDEX(V:V,ROW()-1)*$AE$4))/$AD$5,"")</f>
        <v>#DIV/0!</v>
      </c>
      <c r="W38" s="77" t="e">
        <f>IF(MOD(ROW()-ROW($G$12),3)=2,((INDEX(W:W,ROW()-2)*$AC$4)+(INDEX(W:W,ROW()-1)*$AE$4))/$AD$5,"")</f>
        <v>#DIV/0!</v>
      </c>
      <c r="X38" s="77" t="e">
        <f>IF(MOD(ROW()-ROW($G$12),3)=2,((INDEX(X:X,ROW()-2)*$AC$4)+(INDEX(X:X,ROW()-1)*$AE$4))/$AD$5,"")</f>
        <v>#DIV/0!</v>
      </c>
      <c r="Y38" s="78"/>
      <c r="Z38" s="77"/>
      <c r="AA38" s="56"/>
      <c r="AB38" s="56"/>
      <c r="AC38" s="56"/>
      <c r="AD38" s="56"/>
      <c r="AE38" s="56"/>
    </row>
    <row r="39" spans="1:31" ht="14.5">
      <c r="A39" s="70">
        <f t="shared" ref="A39:A40" si="27">IF(MOD(ROW()-12,3)=0,INT((ROW()-12)/3)+1,"")</f>
        <v>10</v>
      </c>
      <c r="B39" s="70">
        <f t="array" ref="B39">IF(MOD(ROW()-ROW($B$12),3)=0,INDEX(BIODATA!B:B,INT((ROW()-ROW($B$12))/3)+24),"")</f>
        <v>0</v>
      </c>
      <c r="C39" s="70">
        <f t="array" ref="C39">IF(MOD(ROW()-ROW($B$12),3)=0,INDEX(BIODATA!C:C,INT((ROW()-ROW($B$12))/3)+24),"")</f>
        <v>0</v>
      </c>
      <c r="D39" s="71" t="str">
        <f t="array" ref="D39">IF(MOD(ROW()-ROW($B$12),3)=0,INDEX(BIODATA!D:D,INT((ROW()-ROW($B$12))/3)+24),"")</f>
        <v>FAJAR MAS'UD ALAMSYAH</v>
      </c>
      <c r="E39" s="70" t="str">
        <f t="array" ref="E39">IF(MOD(ROW()-ROW($B$12),3)=0,INDEX(BIODATA!H:H,INT((ROW()-ROW($B$12))/3)+24),"")</f>
        <v>L</v>
      </c>
      <c r="F39" s="72" t="s">
        <v>134</v>
      </c>
      <c r="G39" s="73">
        <f t="array" ref="G39">IF(MOD(ROW()-ROW($G$12),3)=0,INDEX(RR!L:L,INT((ROW()-ROW($G$12))/3)+9),"")</f>
        <v>85</v>
      </c>
      <c r="H39" s="73">
        <f t="array" ref="H39">IF(MOD(ROW()-ROW($H$12),3)=0,INDEX(RR!R:R,INT((ROW()-ROW($H$12))/3)+9),"")</f>
        <v>95</v>
      </c>
      <c r="I39" s="73">
        <f t="array" ref="I39">IF(MOD(ROW()-ROW($I$12),3)=0,INDEX(RR!X:X,INT((ROW()-ROW($I$12))/3)+9),"")</f>
        <v>80</v>
      </c>
      <c r="J39" s="73">
        <f t="array" ref="J39">IF(MOD(ROW()-ROW($I$12),3)=0,INDEX(RR!AC:AC,INT((ROW()-ROW($I$12))/3)+9),"")</f>
        <v>87</v>
      </c>
      <c r="K39" s="73">
        <f t="array" ref="K39">IF(MOD(ROW()-ROW($I$12),3)=0,INDEX(RR!AH:AH,INT((ROW()-ROW($I$12))/3)+9),"")</f>
        <v>87</v>
      </c>
      <c r="L39" s="73">
        <f t="array" ref="L39">IF(MOD(ROW()-ROW($I$12),3)=0,INDEX(RR!AK:AK,INT((ROW()-ROW($I$12))/3)+9),"")</f>
        <v>80</v>
      </c>
      <c r="M39" s="73">
        <f t="array" ref="M39">IF(MOD(ROW()-ROW($I$12),3)=0,INDEX(RR!AQ:AQ,INT((ROW()-ROW($I$12))/3)+9),"")</f>
        <v>85</v>
      </c>
      <c r="N39" s="73">
        <f t="array" ref="N39">IF(MOD(ROW()-ROW($I$12),3)=0,INDEX(RR!AW:AW,INT((ROW()-ROW($I$12))/3)+9),"")</f>
        <v>79</v>
      </c>
      <c r="O39" s="73">
        <f t="array" ref="O39">IF(MOD(ROW()-ROW($I$12),3)=0,INDEX(RR!BB:BB,INT((ROW()-ROW($I$12))/3)+9),"")</f>
        <v>0</v>
      </c>
      <c r="P39" s="73">
        <f t="array" ref="P39">IF(MOD(ROW()-ROW($I$12),3)=0,INDEX(RR!BF:BF,INT((ROW()-ROW($I$12))/3)+9),"")</f>
        <v>86.333333333333343</v>
      </c>
      <c r="Q39" s="73">
        <f t="array" ref="Q39">IF(MOD(ROW()-ROW($I$12),3)=0,INDEX(RR!BI:BI,INT((ROW()-ROW($I$12))/3)+9),"")</f>
        <v>82</v>
      </c>
      <c r="R39" s="73">
        <f t="array" ref="R39">IF(MOD(ROW()-ROW($I$12),3)=0,INDEX(RR!BL:BL,INT((ROW()-ROW($I$12))/3)+9),"")</f>
        <v>86.333333333333343</v>
      </c>
      <c r="S39" s="73" t="e">
        <f t="array" ref="S39">IF(MOD(ROW()-ROW($I$12),3)=0,INDEX(RR!BP:BP,INT((ROW()-ROW($I$12))/3)+9),"")</f>
        <v>#DIV/0!</v>
      </c>
      <c r="T39" s="73" t="e">
        <f t="array" ref="T39">IF(MOD(ROW()-ROW($I$12),3)=0,INDEX(RR!BT:BT,INT((ROW()-ROW($I$12))/3)+9),"")</f>
        <v>#DIV/0!</v>
      </c>
      <c r="U39" s="73">
        <f t="array" ref="U39">IF(MOD(ROW()-ROW($I$12),3)=0,INDEX(RR!BV:BV,INT((ROW()-ROW($I$12))/3)+9),"")</f>
        <v>0</v>
      </c>
      <c r="V39" s="73" t="e">
        <f t="array" ref="V39">IF(MOD(ROW()-ROW($I$12),3)=0,INDEX(RR!BZ:BZ,INT((ROW()-ROW($I$12))/3)+9),"")</f>
        <v>#DIV/0!</v>
      </c>
      <c r="W39" s="73" t="e">
        <f t="shared" ref="W39:W40" si="28">IF(MOD(ROW()-ROW($W$12),3)&lt;&gt;2,SUM(G39:V39),"")</f>
        <v>#DIV/0!</v>
      </c>
      <c r="X39" s="73" t="e">
        <f>IF(MOD(ROW()-ROW($X$12),3)&lt;&gt;2,ROUND(W39/16,2),"")</f>
        <v>#DIV/0!</v>
      </c>
      <c r="Y39" s="70"/>
      <c r="Z39" s="74" t="e">
        <f t="array" ref="Z39">IF(MOD(ROW()-ROW($Z$12),3)=0,IF(INDEX(X:X,ROW()+2)&gt;=$AC$9,"L","TL"),"")</f>
        <v>#DIV/0!</v>
      </c>
      <c r="AA39" s="56"/>
      <c r="AB39" s="56"/>
      <c r="AC39" s="56"/>
      <c r="AD39" s="56"/>
      <c r="AE39" s="56"/>
    </row>
    <row r="40" spans="1:31" ht="14.5">
      <c r="A40" s="70" t="str">
        <f t="shared" si="27"/>
        <v/>
      </c>
      <c r="B40" s="70" t="str">
        <f t="array" ref="B40">IF(MOD(ROW()-ROW($B$12),3)=0,INDEX(BIODATA!B:B,INT((ROW()-ROW($B$12))/3)+24),"")</f>
        <v/>
      </c>
      <c r="C40" s="70"/>
      <c r="D40" s="71"/>
      <c r="E40" s="70"/>
      <c r="F40" s="72" t="s">
        <v>105</v>
      </c>
      <c r="G40" s="73">
        <f t="array" ref="G40">IF(MOD(ROW()-ROW($G$12),3)=1,INDEX(PSAJ!F:F,INT((ROW()-ROW($G$12))/3)+8),"")</f>
        <v>86</v>
      </c>
      <c r="H40" s="73">
        <f t="array" ref="H40">IF(MOD(ROW()-ROW($G$12),3)=1,INDEX(PSAJ!G:G,INT((ROW()-ROW($G$12))/3)+8),"")</f>
        <v>80</v>
      </c>
      <c r="I40" s="73">
        <f t="array" ref="I40">IF(MOD(ROW()-ROW($G$12),3)=1,INDEX(PSAJ!H:H,INT((ROW()-ROW($G$12))/3)+8),"")</f>
        <v>80</v>
      </c>
      <c r="J40" s="73">
        <f t="array" ref="J40">IF(MOD(ROW()-ROW($G$12),3)=1,INDEX(PSAJ!I:I,INT((ROW()-ROW($G$12))/3)+8),"")</f>
        <v>80</v>
      </c>
      <c r="K40" s="73">
        <f t="array" ref="K40">IF(MOD(ROW()-ROW($G$12),3)=1,INDEX(PSAJ!J:J,INT((ROW()-ROW($G$12))/3)+8),"")</f>
        <v>83</v>
      </c>
      <c r="L40" s="73">
        <f t="array" ref="L40">IF(MOD(ROW()-ROW($G$12),3)=1,INDEX(PSAJ!K:K,INT((ROW()-ROW($G$12))/3)+8),"")</f>
        <v>82</v>
      </c>
      <c r="M40" s="73">
        <f t="array" ref="M40">IF(MOD(ROW()-ROW($G$12),3)=1,INDEX(PSAJ!L:L,INT((ROW()-ROW($G$12))/3)+8),"")</f>
        <v>80</v>
      </c>
      <c r="N40" s="73">
        <f t="array" ref="N40">IF(MOD(ROW()-ROW($G$12),3)=1,INDEX(PSAJ!M:M,INT((ROW()-ROW($G$12))/3)+8),"")</f>
        <v>84</v>
      </c>
      <c r="O40" s="73">
        <f t="array" ref="O40">IF(MOD(ROW()-ROW($G$12),3)=1,INDEX(PSAJ!N:N,INT((ROW()-ROW($G$12))/3)+8),"")</f>
        <v>80</v>
      </c>
      <c r="P40" s="73">
        <f t="array" ref="P40">IF(MOD(ROW()-ROW($G$12),3)=1,INDEX(PSAJ!O:O,INT((ROW()-ROW($G$12))/3)+8),"")</f>
        <v>82</v>
      </c>
      <c r="Q40" s="73">
        <f t="array" ref="Q40">IF(MOD(ROW()-ROW($G$12),3)=1,INDEX(PSAJ!P:P,INT((ROW()-ROW($G$12))/3)+8),"")</f>
        <v>82</v>
      </c>
      <c r="R40" s="73">
        <f t="array" ref="R40">IF(MOD(ROW()-ROW($G$12),3)=1,INDEX(PSAJ!Q:Q,INT((ROW()-ROW($G$12))/3)+8),"")</f>
        <v>84</v>
      </c>
      <c r="S40" s="73">
        <f t="array" ref="S40">IF(MOD(ROW()-ROW($G$12),3)=1,INDEX(PSAJ!R:R,INT((ROW()-ROW($G$12))/3)+8),"")</f>
        <v>86</v>
      </c>
      <c r="T40" s="73">
        <f t="array" ref="T40">IF(MOD(ROW()-ROW($G$12),3)=1,INDEX(PSAJ!S:S,INT((ROW()-ROW($G$12))/3)+8),"")</f>
        <v>84</v>
      </c>
      <c r="U40" s="73">
        <v>0</v>
      </c>
      <c r="V40" s="73">
        <f t="array" ref="V40">IF(MOD(ROW()-ROW($G$12),3)=1,INDEX(PSAJ!T:T,INT((ROW()-ROW($G$12))/3)+8),"")</f>
        <v>84</v>
      </c>
      <c r="W40" s="73">
        <f t="shared" si="28"/>
        <v>1237</v>
      </c>
      <c r="X40" s="73">
        <f>IF(MOD(ROW()-ROW($X$12),3)&lt;&gt;2,ROUND(W40/15,2),"")</f>
        <v>82.47</v>
      </c>
      <c r="Y40" s="70"/>
      <c r="Z40" s="75"/>
      <c r="AA40" s="56"/>
      <c r="AB40" s="56"/>
      <c r="AC40" s="56"/>
      <c r="AD40" s="56"/>
      <c r="AE40" s="56"/>
    </row>
    <row r="41" spans="1:31" ht="14.5">
      <c r="A41" s="70"/>
      <c r="B41" s="70"/>
      <c r="C41" s="70"/>
      <c r="D41" s="71"/>
      <c r="E41" s="70"/>
      <c r="F41" s="76" t="s">
        <v>135</v>
      </c>
      <c r="G41" s="77">
        <f t="shared" ref="G41:T41" si="29">IF(MOD(ROW()-ROW($G$12),3)=2,((INDEX(G:G,ROW()-2)*$AC$4)+(INDEX(G:G,ROW()-1)*$AE$4))/$AD$5,"")</f>
        <v>85.5</v>
      </c>
      <c r="H41" s="77">
        <f t="shared" si="29"/>
        <v>87.5</v>
      </c>
      <c r="I41" s="77">
        <f t="shared" si="29"/>
        <v>80</v>
      </c>
      <c r="J41" s="77">
        <f t="shared" si="29"/>
        <v>83.5</v>
      </c>
      <c r="K41" s="77">
        <f t="shared" si="29"/>
        <v>85</v>
      </c>
      <c r="L41" s="77">
        <f t="shared" si="29"/>
        <v>81</v>
      </c>
      <c r="M41" s="77">
        <f t="shared" si="29"/>
        <v>82.5</v>
      </c>
      <c r="N41" s="77">
        <f t="shared" si="29"/>
        <v>81.5</v>
      </c>
      <c r="O41" s="77">
        <f t="shared" si="29"/>
        <v>40</v>
      </c>
      <c r="P41" s="77">
        <f t="shared" si="29"/>
        <v>84.166666666666686</v>
      </c>
      <c r="Q41" s="77">
        <f t="shared" si="29"/>
        <v>82</v>
      </c>
      <c r="R41" s="77">
        <f t="shared" si="29"/>
        <v>85.166666666666686</v>
      </c>
      <c r="S41" s="77" t="e">
        <f t="shared" si="29"/>
        <v>#DIV/0!</v>
      </c>
      <c r="T41" s="77" t="e">
        <f t="shared" si="29"/>
        <v>#DIV/0!</v>
      </c>
      <c r="U41" s="77">
        <f t="array" ref="U41">IF(MOD(ROW()-ROW($U$12),3)=2,N(INDEX(U:U,ROW()-2)),0)</f>
        <v>0</v>
      </c>
      <c r="V41" s="77" t="e">
        <f>IF(MOD(ROW()-ROW($G$12),3)=2,((INDEX(V:V,ROW()-2)*$AC$4)+(INDEX(V:V,ROW()-1)*$AE$4))/$AD$5,"")</f>
        <v>#DIV/0!</v>
      </c>
      <c r="W41" s="77" t="e">
        <f>IF(MOD(ROW()-ROW($G$12),3)=2,((INDEX(W:W,ROW()-2)*$AC$4)+(INDEX(W:W,ROW()-1)*$AE$4))/$AD$5,"")</f>
        <v>#DIV/0!</v>
      </c>
      <c r="X41" s="77" t="e">
        <f>IF(MOD(ROW()-ROW($G$12),3)=2,((INDEX(X:X,ROW()-2)*$AC$4)+(INDEX(X:X,ROW()-1)*$AE$4))/$AD$5,"")</f>
        <v>#DIV/0!</v>
      </c>
      <c r="Y41" s="78"/>
      <c r="Z41" s="77"/>
      <c r="AA41" s="56"/>
      <c r="AB41" s="56"/>
      <c r="AC41" s="56"/>
      <c r="AD41" s="56"/>
      <c r="AE41" s="56"/>
    </row>
    <row r="42" spans="1:31" ht="14.5">
      <c r="A42" s="70">
        <f t="shared" ref="A42:A43" si="30">IF(MOD(ROW()-12,3)=0,INT((ROW()-12)/3)+1,"")</f>
        <v>11</v>
      </c>
      <c r="B42" s="70">
        <f t="array" ref="B42">IF(MOD(ROW()-ROW($B$12),3)=0,INDEX(BIODATA!B:B,INT((ROW()-ROW($B$12))/3)+24),"")</f>
        <v>0</v>
      </c>
      <c r="C42" s="70">
        <f t="array" ref="C42">IF(MOD(ROW()-ROW($B$12),3)=0,INDEX(BIODATA!C:C,INT((ROW()-ROW($B$12))/3)+24),"")</f>
        <v>0</v>
      </c>
      <c r="D42" s="71" t="str">
        <f t="array" ref="D42">IF(MOD(ROW()-ROW($B$12),3)=0,INDEX(BIODATA!D:D,INT((ROW()-ROW($B$12))/3)+24),"")</f>
        <v>JEFRI ALIF SUHENDRIK</v>
      </c>
      <c r="E42" s="70" t="str">
        <f t="array" ref="E42">IF(MOD(ROW()-ROW($B$12),3)=0,INDEX(BIODATA!H:H,INT((ROW()-ROW($B$12))/3)+24),"")</f>
        <v>L</v>
      </c>
      <c r="F42" s="72" t="s">
        <v>134</v>
      </c>
      <c r="G42" s="73" t="e">
        <f t="array" ref="G42">IF(MOD(ROW()-ROW($G$12),3)=0,INDEX(RR!L:L,INT((ROW()-ROW($G$12))/3)+9),"")</f>
        <v>#DIV/0!</v>
      </c>
      <c r="H42" s="73">
        <f t="array" ref="H42">IF(MOD(ROW()-ROW($H$12),3)=0,INDEX(RR!R:R,INT((ROW()-ROW($H$12))/3)+9),"")</f>
        <v>78</v>
      </c>
      <c r="I42" s="73">
        <f t="array" ref="I42">IF(MOD(ROW()-ROW($I$12),3)=0,INDEX(RR!X:X,INT((ROW()-ROW($I$12))/3)+9),"")</f>
        <v>81</v>
      </c>
      <c r="J42" s="73">
        <f t="array" ref="J42">IF(MOD(ROW()-ROW($I$12),3)=0,INDEX(RR!AC:AC,INT((ROW()-ROW($I$12))/3)+9),"")</f>
        <v>85</v>
      </c>
      <c r="K42" s="73" t="e">
        <f t="array" ref="K42">IF(MOD(ROW()-ROW($I$12),3)=0,INDEX(RR!AH:AH,INT((ROW()-ROW($I$12))/3)+9),"")</f>
        <v>#DIV/0!</v>
      </c>
      <c r="L42" s="73">
        <f t="array" ref="L42">IF(MOD(ROW()-ROW($I$12),3)=0,INDEX(RR!AK:AK,INT((ROW()-ROW($I$12))/3)+9),"")</f>
        <v>80</v>
      </c>
      <c r="M42" s="73" t="e">
        <f t="array" ref="M42">IF(MOD(ROW()-ROW($I$12),3)=0,INDEX(RR!AQ:AQ,INT((ROW()-ROW($I$12))/3)+9),"")</f>
        <v>#DIV/0!</v>
      </c>
      <c r="N42" s="73">
        <f t="array" ref="N42">IF(MOD(ROW()-ROW($I$12),3)=0,INDEX(RR!AW:AW,INT((ROW()-ROW($I$12))/3)+9),"")</f>
        <v>70</v>
      </c>
      <c r="O42" s="73">
        <f t="array" ref="O42">IF(MOD(ROW()-ROW($I$12),3)=0,INDEX(RR!BB:BB,INT((ROW()-ROW($I$12))/3)+9),"")</f>
        <v>0</v>
      </c>
      <c r="P42" s="73">
        <f t="array" ref="P42">IF(MOD(ROW()-ROW($I$12),3)=0,INDEX(RR!BF:BF,INT((ROW()-ROW($I$12))/3)+9),"")</f>
        <v>78</v>
      </c>
      <c r="Q42" s="73">
        <f t="array" ref="Q42">IF(MOD(ROW()-ROW($I$12),3)=0,INDEX(RR!BI:BI,INT((ROW()-ROW($I$12))/3)+9),"")</f>
        <v>80</v>
      </c>
      <c r="R42" s="73">
        <f t="array" ref="R42">IF(MOD(ROW()-ROW($I$12),3)=0,INDEX(RR!BL:BL,INT((ROW()-ROW($I$12))/3)+9),"")</f>
        <v>78</v>
      </c>
      <c r="S42" s="73" t="e">
        <f t="array" ref="S42">IF(MOD(ROW()-ROW($I$12),3)=0,INDEX(RR!BP:BP,INT((ROW()-ROW($I$12))/3)+9),"")</f>
        <v>#DIV/0!</v>
      </c>
      <c r="T42" s="73" t="e">
        <f t="array" ref="T42">IF(MOD(ROW()-ROW($I$12),3)=0,INDEX(RR!BT:BT,INT((ROW()-ROW($I$12))/3)+9),"")</f>
        <v>#DIV/0!</v>
      </c>
      <c r="U42" s="73">
        <f t="array" ref="U42">IF(MOD(ROW()-ROW($I$12),3)=0,INDEX(RR!BV:BV,INT((ROW()-ROW($I$12))/3)+9),"")</f>
        <v>0</v>
      </c>
      <c r="V42" s="73" t="e">
        <f t="array" ref="V42">IF(MOD(ROW()-ROW($I$12),3)=0,INDEX(RR!BZ:BZ,INT((ROW()-ROW($I$12))/3)+9),"")</f>
        <v>#DIV/0!</v>
      </c>
      <c r="W42" s="73" t="e">
        <f t="shared" ref="W42:W43" si="31">IF(MOD(ROW()-ROW($W$12),3)&lt;&gt;2,SUM(G42:V42),"")</f>
        <v>#DIV/0!</v>
      </c>
      <c r="X42" s="73" t="e">
        <f>IF(MOD(ROW()-ROW($X$12),3)&lt;&gt;2,ROUND(W42/16,2),"")</f>
        <v>#DIV/0!</v>
      </c>
      <c r="Y42" s="70"/>
      <c r="Z42" s="74" t="e">
        <f t="array" ref="Z42">IF(MOD(ROW()-ROW($Z$12),3)=0,IF(INDEX(X:X,ROW()+2)&gt;=$AC$9,"L","TL"),"")</f>
        <v>#DIV/0!</v>
      </c>
      <c r="AA42" s="56"/>
      <c r="AB42" s="56"/>
      <c r="AC42" s="56"/>
      <c r="AD42" s="56"/>
      <c r="AE42" s="56"/>
    </row>
    <row r="43" spans="1:31" ht="14.5">
      <c r="A43" s="70" t="str">
        <f t="shared" si="30"/>
        <v/>
      </c>
      <c r="B43" s="70" t="str">
        <f t="array" ref="B43">IF(MOD(ROW()-ROW($B$12),3)=0,INDEX(BIODATA!B:B,INT((ROW()-ROW($B$12))/3)+24),"")</f>
        <v/>
      </c>
      <c r="C43" s="70"/>
      <c r="D43" s="71"/>
      <c r="E43" s="70"/>
      <c r="F43" s="72" t="s">
        <v>105</v>
      </c>
      <c r="G43" s="73">
        <f t="array" ref="G43">IF(MOD(ROW()-ROW($G$12),3)=1,INDEX(PSAJ!F:F,INT((ROW()-ROW($G$12))/3)+8),"")</f>
        <v>82</v>
      </c>
      <c r="H43" s="73">
        <f t="array" ref="H43">IF(MOD(ROW()-ROW($G$12),3)=1,INDEX(PSAJ!G:G,INT((ROW()-ROW($G$12))/3)+8),"")</f>
        <v>80</v>
      </c>
      <c r="I43" s="73">
        <f t="array" ref="I43">IF(MOD(ROW()-ROW($G$12),3)=1,INDEX(PSAJ!H:H,INT((ROW()-ROW($G$12))/3)+8),"")</f>
        <v>83</v>
      </c>
      <c r="J43" s="73">
        <f t="array" ref="J43">IF(MOD(ROW()-ROW($G$12),3)=1,INDEX(PSAJ!I:I,INT((ROW()-ROW($G$12))/3)+8),"")</f>
        <v>80</v>
      </c>
      <c r="K43" s="73">
        <f t="array" ref="K43">IF(MOD(ROW()-ROW($G$12),3)=1,INDEX(PSAJ!J:J,INT((ROW()-ROW($G$12))/3)+8),"")</f>
        <v>81</v>
      </c>
      <c r="L43" s="73">
        <f t="array" ref="L43">IF(MOD(ROW()-ROW($G$12),3)=1,INDEX(PSAJ!K:K,INT((ROW()-ROW($G$12))/3)+8),"")</f>
        <v>81</v>
      </c>
      <c r="M43" s="73">
        <f t="array" ref="M43">IF(MOD(ROW()-ROW($G$12),3)=1,INDEX(PSAJ!L:L,INT((ROW()-ROW($G$12))/3)+8),"")</f>
        <v>80</v>
      </c>
      <c r="N43" s="73">
        <f t="array" ref="N43">IF(MOD(ROW()-ROW($G$12),3)=1,INDEX(PSAJ!M:M,INT((ROW()-ROW($G$12))/3)+8),"")</f>
        <v>82</v>
      </c>
      <c r="O43" s="73">
        <f t="array" ref="O43">IF(MOD(ROW()-ROW($G$12),3)=1,INDEX(PSAJ!N:N,INT((ROW()-ROW($G$12))/3)+8),"")</f>
        <v>82</v>
      </c>
      <c r="P43" s="73">
        <f t="array" ref="P43">IF(MOD(ROW()-ROW($G$12),3)=1,INDEX(PSAJ!O:O,INT((ROW()-ROW($G$12))/3)+8),"")</f>
        <v>82</v>
      </c>
      <c r="Q43" s="73">
        <f t="array" ref="Q43">IF(MOD(ROW()-ROW($G$12),3)=1,INDEX(PSAJ!P:P,INT((ROW()-ROW($G$12))/3)+8),"")</f>
        <v>80</v>
      </c>
      <c r="R43" s="73">
        <f t="array" ref="R43">IF(MOD(ROW()-ROW($G$12),3)=1,INDEX(PSAJ!Q:Q,INT((ROW()-ROW($G$12))/3)+8),"")</f>
        <v>83</v>
      </c>
      <c r="S43" s="73">
        <f t="array" ref="S43">IF(MOD(ROW()-ROW($G$12),3)=1,INDEX(PSAJ!R:R,INT((ROW()-ROW($G$12))/3)+8),"")</f>
        <v>85</v>
      </c>
      <c r="T43" s="73">
        <f t="array" ref="T43">IF(MOD(ROW()-ROW($G$12),3)=1,INDEX(PSAJ!S:S,INT((ROW()-ROW($G$12))/3)+8),"")</f>
        <v>80</v>
      </c>
      <c r="U43" s="73">
        <v>0</v>
      </c>
      <c r="V43" s="73">
        <f t="array" ref="V43">IF(MOD(ROW()-ROW($G$12),3)=1,INDEX(PSAJ!T:T,INT((ROW()-ROW($G$12))/3)+8),"")</f>
        <v>80</v>
      </c>
      <c r="W43" s="73">
        <f t="shared" si="31"/>
        <v>1221</v>
      </c>
      <c r="X43" s="73">
        <f>IF(MOD(ROW()-ROW($X$12),3)&lt;&gt;2,ROUND(W43/15,2),"")</f>
        <v>81.400000000000006</v>
      </c>
      <c r="Y43" s="70"/>
      <c r="Z43" s="75"/>
      <c r="AA43" s="56"/>
      <c r="AB43" s="56"/>
      <c r="AC43" s="56"/>
      <c r="AD43" s="56"/>
      <c r="AE43" s="56"/>
    </row>
    <row r="44" spans="1:31" ht="14.5">
      <c r="A44" s="70"/>
      <c r="B44" s="70"/>
      <c r="C44" s="70"/>
      <c r="D44" s="71"/>
      <c r="E44" s="70"/>
      <c r="F44" s="76" t="s">
        <v>135</v>
      </c>
      <c r="G44" s="77" t="e">
        <f t="shared" ref="G44:T44" si="32">IF(MOD(ROW()-ROW($G$12),3)=2,((INDEX(G:G,ROW()-2)*$AC$4)+(INDEX(G:G,ROW()-1)*$AE$4))/$AD$5,"")</f>
        <v>#DIV/0!</v>
      </c>
      <c r="H44" s="77">
        <f t="shared" si="32"/>
        <v>79</v>
      </c>
      <c r="I44" s="77">
        <f t="shared" si="32"/>
        <v>82</v>
      </c>
      <c r="J44" s="77">
        <f t="shared" si="32"/>
        <v>82.5</v>
      </c>
      <c r="K44" s="77" t="e">
        <f t="shared" si="32"/>
        <v>#DIV/0!</v>
      </c>
      <c r="L44" s="77">
        <f t="shared" si="32"/>
        <v>80.5</v>
      </c>
      <c r="M44" s="77" t="e">
        <f t="shared" si="32"/>
        <v>#DIV/0!</v>
      </c>
      <c r="N44" s="77">
        <f t="shared" si="32"/>
        <v>76</v>
      </c>
      <c r="O44" s="77">
        <f t="shared" si="32"/>
        <v>41</v>
      </c>
      <c r="P44" s="77">
        <f t="shared" si="32"/>
        <v>80</v>
      </c>
      <c r="Q44" s="77">
        <f t="shared" si="32"/>
        <v>80</v>
      </c>
      <c r="R44" s="77">
        <f t="shared" si="32"/>
        <v>80.5</v>
      </c>
      <c r="S44" s="77" t="e">
        <f t="shared" si="32"/>
        <v>#DIV/0!</v>
      </c>
      <c r="T44" s="77" t="e">
        <f t="shared" si="32"/>
        <v>#DIV/0!</v>
      </c>
      <c r="U44" s="77">
        <f t="array" ref="U44">IF(MOD(ROW()-ROW($U$12),3)=2,N(INDEX(U:U,ROW()-2)),0)</f>
        <v>0</v>
      </c>
      <c r="V44" s="77" t="e">
        <f>IF(MOD(ROW()-ROW($G$12),3)=2,((INDEX(V:V,ROW()-2)*$AC$4)+(INDEX(V:V,ROW()-1)*$AE$4))/$AD$5,"")</f>
        <v>#DIV/0!</v>
      </c>
      <c r="W44" s="77" t="e">
        <f>IF(MOD(ROW()-ROW($G$12),3)=2,((INDEX(W:W,ROW()-2)*$AC$4)+(INDEX(W:W,ROW()-1)*$AE$4))/$AD$5,"")</f>
        <v>#DIV/0!</v>
      </c>
      <c r="X44" s="77" t="e">
        <f>IF(MOD(ROW()-ROW($G$12),3)=2,((INDEX(X:X,ROW()-2)*$AC$4)+(INDEX(X:X,ROW()-1)*$AE$4))/$AD$5,"")</f>
        <v>#DIV/0!</v>
      </c>
      <c r="Y44" s="78"/>
      <c r="Z44" s="77"/>
      <c r="AA44" s="56"/>
      <c r="AB44" s="56"/>
      <c r="AC44" s="56"/>
      <c r="AD44" s="56"/>
      <c r="AE44" s="56"/>
    </row>
    <row r="45" spans="1:31" ht="14.5">
      <c r="A45" s="70">
        <f t="shared" ref="A45:A46" si="33">IF(MOD(ROW()-12,3)=0,INT((ROW()-12)/3)+1,"")</f>
        <v>12</v>
      </c>
      <c r="B45" s="70">
        <f t="array" ref="B45">IF(MOD(ROW()-ROW($B$12),3)=0,INDEX(BIODATA!B:B,INT((ROW()-ROW($B$12))/3)+24),"")</f>
        <v>0</v>
      </c>
      <c r="C45" s="70">
        <f t="array" ref="C45">IF(MOD(ROW()-ROW($B$12),3)=0,INDEX(BIODATA!C:C,INT((ROW()-ROW($B$12))/3)+24),"")</f>
        <v>0</v>
      </c>
      <c r="D45" s="71" t="str">
        <f t="array" ref="D45">IF(MOD(ROW()-ROW($B$12),3)=0,INDEX(BIODATA!D:D,INT((ROW()-ROW($B$12))/3)+24),"")</f>
        <v>KRISNA DWI PUTRA</v>
      </c>
      <c r="E45" s="70" t="str">
        <f t="array" ref="E45">IF(MOD(ROW()-ROW($B$12),3)=0,INDEX(BIODATA!H:H,INT((ROW()-ROW($B$12))/3)+24),"")</f>
        <v>L</v>
      </c>
      <c r="F45" s="72" t="s">
        <v>134</v>
      </c>
      <c r="G45" s="73">
        <f t="array" ref="G45">IF(MOD(ROW()-ROW($G$12),3)=0,INDEX(RR!L:L,INT((ROW()-ROW($G$12))/3)+9),"")</f>
        <v>89</v>
      </c>
      <c r="H45" s="73">
        <f t="array" ref="H45">IF(MOD(ROW()-ROW($H$12),3)=0,INDEX(RR!R:R,INT((ROW()-ROW($H$12))/3)+9),"")</f>
        <v>99</v>
      </c>
      <c r="I45" s="73">
        <f t="array" ref="I45">IF(MOD(ROW()-ROW($I$12),3)=0,INDEX(RR!X:X,INT((ROW()-ROW($I$12))/3)+9),"")</f>
        <v>80</v>
      </c>
      <c r="J45" s="73">
        <f t="array" ref="J45">IF(MOD(ROW()-ROW($I$12),3)=0,INDEX(RR!AC:AC,INT((ROW()-ROW($I$12))/3)+9),"")</f>
        <v>87</v>
      </c>
      <c r="K45" s="73">
        <f t="array" ref="K45">IF(MOD(ROW()-ROW($I$12),3)=0,INDEX(RR!AH:AH,INT((ROW()-ROW($I$12))/3)+9),"")</f>
        <v>91</v>
      </c>
      <c r="L45" s="73">
        <f t="array" ref="L45">IF(MOD(ROW()-ROW($I$12),3)=0,INDEX(RR!AK:AK,INT((ROW()-ROW($I$12))/3)+9),"")</f>
        <v>80</v>
      </c>
      <c r="M45" s="73">
        <f t="array" ref="M45">IF(MOD(ROW()-ROW($I$12),3)=0,INDEX(RR!AQ:AQ,INT((ROW()-ROW($I$12))/3)+9),"")</f>
        <v>89</v>
      </c>
      <c r="N45" s="73">
        <f t="array" ref="N45">IF(MOD(ROW()-ROW($I$12),3)=0,INDEX(RR!AW:AW,INT((ROW()-ROW($I$12))/3)+9),"")</f>
        <v>79</v>
      </c>
      <c r="O45" s="73">
        <f t="array" ref="O45">IF(MOD(ROW()-ROW($I$12),3)=0,INDEX(RR!BB:BB,INT((ROW()-ROW($I$12))/3)+9),"")</f>
        <v>0</v>
      </c>
      <c r="P45" s="73">
        <f t="array" ref="P45">IF(MOD(ROW()-ROW($I$12),3)=0,INDEX(RR!BF:BF,INT((ROW()-ROW($I$12))/3)+9),"")</f>
        <v>86.333333333333343</v>
      </c>
      <c r="Q45" s="73">
        <f t="array" ref="Q45">IF(MOD(ROW()-ROW($I$12),3)=0,INDEX(RR!BI:BI,INT((ROW()-ROW($I$12))/3)+9),"")</f>
        <v>82</v>
      </c>
      <c r="R45" s="73">
        <f t="array" ref="R45">IF(MOD(ROW()-ROW($I$12),3)=0,INDEX(RR!BL:BL,INT((ROW()-ROW($I$12))/3)+9),"")</f>
        <v>86.333333333333343</v>
      </c>
      <c r="S45" s="73" t="e">
        <f t="array" ref="S45">IF(MOD(ROW()-ROW($I$12),3)=0,INDEX(RR!BP:BP,INT((ROW()-ROW($I$12))/3)+9),"")</f>
        <v>#DIV/0!</v>
      </c>
      <c r="T45" s="73" t="e">
        <f t="array" ref="T45">IF(MOD(ROW()-ROW($I$12),3)=0,INDEX(RR!BT:BT,INT((ROW()-ROW($I$12))/3)+9),"")</f>
        <v>#DIV/0!</v>
      </c>
      <c r="U45" s="73">
        <f t="array" ref="U45">IF(MOD(ROW()-ROW($I$12),3)=0,INDEX(RR!BV:BV,INT((ROW()-ROW($I$12))/3)+9),"")</f>
        <v>0</v>
      </c>
      <c r="V45" s="73" t="e">
        <f t="array" ref="V45">IF(MOD(ROW()-ROW($I$12),3)=0,INDEX(RR!BZ:BZ,INT((ROW()-ROW($I$12))/3)+9),"")</f>
        <v>#DIV/0!</v>
      </c>
      <c r="W45" s="73" t="e">
        <f t="shared" ref="W45:W46" si="34">IF(MOD(ROW()-ROW($W$12),3)&lt;&gt;2,SUM(G45:V45),"")</f>
        <v>#DIV/0!</v>
      </c>
      <c r="X45" s="73" t="e">
        <f>IF(MOD(ROW()-ROW($X$12),3)&lt;&gt;2,ROUND(W45/16,2),"")</f>
        <v>#DIV/0!</v>
      </c>
      <c r="Y45" s="70"/>
      <c r="Z45" s="74" t="e">
        <f t="array" ref="Z45">IF(MOD(ROW()-ROW($Z$12),3)=0,IF(INDEX(X:X,ROW()+2)&gt;=$AC$9,"L","TL"),"")</f>
        <v>#DIV/0!</v>
      </c>
      <c r="AA45" s="56"/>
      <c r="AB45" s="56"/>
      <c r="AC45" s="56"/>
      <c r="AD45" s="56"/>
      <c r="AE45" s="56"/>
    </row>
    <row r="46" spans="1:31" ht="14.5">
      <c r="A46" s="70" t="str">
        <f t="shared" si="33"/>
        <v/>
      </c>
      <c r="B46" s="70" t="str">
        <f t="array" ref="B46">IF(MOD(ROW()-ROW($B$12),3)=0,INDEX(BIODATA!B:B,INT((ROW()-ROW($B$12))/3)+24),"")</f>
        <v/>
      </c>
      <c r="C46" s="70"/>
      <c r="D46" s="71"/>
      <c r="E46" s="70"/>
      <c r="F46" s="72" t="s">
        <v>105</v>
      </c>
      <c r="G46" s="73">
        <f t="array" ref="G46">IF(MOD(ROW()-ROW($G$12),3)=1,INDEX(PSAJ!F:F,INT((ROW()-ROW($G$12))/3)+8),"")</f>
        <v>88</v>
      </c>
      <c r="H46" s="73">
        <f t="array" ref="H46">IF(MOD(ROW()-ROW($G$12),3)=1,INDEX(PSAJ!G:G,INT((ROW()-ROW($G$12))/3)+8),"")</f>
        <v>80</v>
      </c>
      <c r="I46" s="73">
        <f t="array" ref="I46">IF(MOD(ROW()-ROW($G$12),3)=1,INDEX(PSAJ!H:H,INT((ROW()-ROW($G$12))/3)+8),"")</f>
        <v>83</v>
      </c>
      <c r="J46" s="73">
        <f t="array" ref="J46">IF(MOD(ROW()-ROW($G$12),3)=1,INDEX(PSAJ!I:I,INT((ROW()-ROW($G$12))/3)+8),"")</f>
        <v>78</v>
      </c>
      <c r="K46" s="73">
        <f t="array" ref="K46">IF(MOD(ROW()-ROW($G$12),3)=1,INDEX(PSAJ!J:J,INT((ROW()-ROW($G$12))/3)+8),"")</f>
        <v>84</v>
      </c>
      <c r="L46" s="73">
        <f t="array" ref="L46">IF(MOD(ROW()-ROW($G$12),3)=1,INDEX(PSAJ!K:K,INT((ROW()-ROW($G$12))/3)+8),"")</f>
        <v>83</v>
      </c>
      <c r="M46" s="73">
        <f t="array" ref="M46">IF(MOD(ROW()-ROW($G$12),3)=1,INDEX(PSAJ!L:L,INT((ROW()-ROW($G$12))/3)+8),"")</f>
        <v>78</v>
      </c>
      <c r="N46" s="73">
        <f t="array" ref="N46">IF(MOD(ROW()-ROW($G$12),3)=1,INDEX(PSAJ!M:M,INT((ROW()-ROW($G$12))/3)+8),"")</f>
        <v>86</v>
      </c>
      <c r="O46" s="73">
        <f t="array" ref="O46">IF(MOD(ROW()-ROW($G$12),3)=1,INDEX(PSAJ!N:N,INT((ROW()-ROW($G$12))/3)+8),"")</f>
        <v>78</v>
      </c>
      <c r="P46" s="73">
        <f t="array" ref="P46">IF(MOD(ROW()-ROW($G$12),3)=1,INDEX(PSAJ!O:O,INT((ROW()-ROW($G$12))/3)+8),"")</f>
        <v>82</v>
      </c>
      <c r="Q46" s="73">
        <f t="array" ref="Q46">IF(MOD(ROW()-ROW($G$12),3)=1,INDEX(PSAJ!P:P,INT((ROW()-ROW($G$12))/3)+8),"")</f>
        <v>83</v>
      </c>
      <c r="R46" s="73">
        <f t="array" ref="R46">IF(MOD(ROW()-ROW($G$12),3)=1,INDEX(PSAJ!Q:Q,INT((ROW()-ROW($G$12))/3)+8),"")</f>
        <v>86</v>
      </c>
      <c r="S46" s="73">
        <f t="array" ref="S46">IF(MOD(ROW()-ROW($G$12),3)=1,INDEX(PSAJ!R:R,INT((ROW()-ROW($G$12))/3)+8),"")</f>
        <v>85</v>
      </c>
      <c r="T46" s="73">
        <f t="array" ref="T46">IF(MOD(ROW()-ROW($G$12),3)=1,INDEX(PSAJ!S:S,INT((ROW()-ROW($G$12))/3)+8),"")</f>
        <v>86</v>
      </c>
      <c r="U46" s="73">
        <v>0</v>
      </c>
      <c r="V46" s="73">
        <f t="array" ref="V46">IF(MOD(ROW()-ROW($G$12),3)=1,INDEX(PSAJ!T:T,INT((ROW()-ROW($G$12))/3)+8),"")</f>
        <v>86</v>
      </c>
      <c r="W46" s="73">
        <f t="shared" si="34"/>
        <v>1246</v>
      </c>
      <c r="X46" s="73">
        <f>IF(MOD(ROW()-ROW($X$12),3)&lt;&gt;2,ROUND(W46/15,2),"")</f>
        <v>83.07</v>
      </c>
      <c r="Y46" s="70"/>
      <c r="Z46" s="75"/>
      <c r="AA46" s="56"/>
      <c r="AB46" s="56"/>
      <c r="AC46" s="56"/>
      <c r="AD46" s="56"/>
      <c r="AE46" s="56"/>
    </row>
    <row r="47" spans="1:31" ht="14.5">
      <c r="A47" s="70"/>
      <c r="B47" s="70"/>
      <c r="C47" s="70"/>
      <c r="D47" s="71"/>
      <c r="E47" s="70"/>
      <c r="F47" s="76" t="s">
        <v>135</v>
      </c>
      <c r="G47" s="77">
        <f t="shared" ref="G47:T47" si="35">IF(MOD(ROW()-ROW($G$12),3)=2,((INDEX(G:G,ROW()-2)*$AC$4)+(INDEX(G:G,ROW()-1)*$AE$4))/$AD$5,"")</f>
        <v>88.5</v>
      </c>
      <c r="H47" s="77">
        <f t="shared" si="35"/>
        <v>89.5</v>
      </c>
      <c r="I47" s="77">
        <f t="shared" si="35"/>
        <v>81.5</v>
      </c>
      <c r="J47" s="77">
        <f t="shared" si="35"/>
        <v>82.5</v>
      </c>
      <c r="K47" s="77">
        <f t="shared" si="35"/>
        <v>87.5</v>
      </c>
      <c r="L47" s="77">
        <f t="shared" si="35"/>
        <v>81.5</v>
      </c>
      <c r="M47" s="77">
        <f t="shared" si="35"/>
        <v>83.5</v>
      </c>
      <c r="N47" s="77">
        <f t="shared" si="35"/>
        <v>82.5</v>
      </c>
      <c r="O47" s="77">
        <f t="shared" si="35"/>
        <v>39</v>
      </c>
      <c r="P47" s="77">
        <f t="shared" si="35"/>
        <v>84.166666666666686</v>
      </c>
      <c r="Q47" s="77">
        <f t="shared" si="35"/>
        <v>82.5</v>
      </c>
      <c r="R47" s="77">
        <f t="shared" si="35"/>
        <v>86.166666666666686</v>
      </c>
      <c r="S47" s="77" t="e">
        <f t="shared" si="35"/>
        <v>#DIV/0!</v>
      </c>
      <c r="T47" s="77" t="e">
        <f t="shared" si="35"/>
        <v>#DIV/0!</v>
      </c>
      <c r="U47" s="77">
        <f t="array" ref="U47">IF(MOD(ROW()-ROW($U$12),3)=2,N(INDEX(U:U,ROW()-2)),0)</f>
        <v>0</v>
      </c>
      <c r="V47" s="77" t="e">
        <f>IF(MOD(ROW()-ROW($G$12),3)=2,((INDEX(V:V,ROW()-2)*$AC$4)+(INDEX(V:V,ROW()-1)*$AE$4))/$AD$5,"")</f>
        <v>#DIV/0!</v>
      </c>
      <c r="W47" s="77" t="e">
        <f>IF(MOD(ROW()-ROW($G$12),3)=2,((INDEX(W:W,ROW()-2)*$AC$4)+(INDEX(W:W,ROW()-1)*$AE$4))/$AD$5,"")</f>
        <v>#DIV/0!</v>
      </c>
      <c r="X47" s="77" t="e">
        <f>IF(MOD(ROW()-ROW($G$12),3)=2,((INDEX(X:X,ROW()-2)*$AC$4)+(INDEX(X:X,ROW()-1)*$AE$4))/$AD$5,"")</f>
        <v>#DIV/0!</v>
      </c>
      <c r="Y47" s="78"/>
      <c r="Z47" s="77"/>
      <c r="AA47" s="56"/>
      <c r="AB47" s="56"/>
      <c r="AC47" s="56"/>
      <c r="AD47" s="56"/>
      <c r="AE47" s="56"/>
    </row>
    <row r="48" spans="1:31" ht="14.5">
      <c r="A48" s="70">
        <f t="shared" ref="A48:A49" si="36">IF(MOD(ROW()-12,3)=0,INT((ROW()-12)/3)+1,"")</f>
        <v>13</v>
      </c>
      <c r="B48" s="70">
        <f t="array" ref="B48">IF(MOD(ROW()-ROW($B$12),3)=0,INDEX(BIODATA!B:B,INT((ROW()-ROW($B$12))/3)+24),"")</f>
        <v>0</v>
      </c>
      <c r="C48" s="70">
        <f t="array" ref="C48">IF(MOD(ROW()-ROW($B$12),3)=0,INDEX(BIODATA!C:C,INT((ROW()-ROW($B$12))/3)+24),"")</f>
        <v>0</v>
      </c>
      <c r="D48" s="71" t="str">
        <f t="array" ref="D48">IF(MOD(ROW()-ROW($B$12),3)=0,INDEX(BIODATA!D:D,INT((ROW()-ROW($B$12))/3)+24),"")</f>
        <v>MARCELO JONAS NATRA ARSYAFIN</v>
      </c>
      <c r="E48" s="70" t="str">
        <f t="array" ref="E48">IF(MOD(ROW()-ROW($B$12),3)=0,INDEX(BIODATA!H:H,INT((ROW()-ROW($B$12))/3)+24),"")</f>
        <v>L</v>
      </c>
      <c r="F48" s="72" t="s">
        <v>134</v>
      </c>
      <c r="G48" s="73">
        <f t="array" ref="G48">IF(MOD(ROW()-ROW($G$12),3)=0,INDEX(RR!L:L,INT((ROW()-ROW($G$12))/3)+9),"")</f>
        <v>86</v>
      </c>
      <c r="H48" s="73">
        <f t="array" ref="H48">IF(MOD(ROW()-ROW($H$12),3)=0,INDEX(RR!R:R,INT((ROW()-ROW($H$12))/3)+9),"")</f>
        <v>99</v>
      </c>
      <c r="I48" s="73">
        <f t="array" ref="I48">IF(MOD(ROW()-ROW($I$12),3)=0,INDEX(RR!X:X,INT((ROW()-ROW($I$12))/3)+9),"")</f>
        <v>80</v>
      </c>
      <c r="J48" s="73">
        <f t="array" ref="J48">IF(MOD(ROW()-ROW($I$12),3)=0,INDEX(RR!AC:AC,INT((ROW()-ROW($I$12))/3)+9),"")</f>
        <v>86</v>
      </c>
      <c r="K48" s="73">
        <f t="array" ref="K48">IF(MOD(ROW()-ROW($I$12),3)=0,INDEX(RR!AH:AH,INT((ROW()-ROW($I$12))/3)+9),"")</f>
        <v>88</v>
      </c>
      <c r="L48" s="73">
        <f t="array" ref="L48">IF(MOD(ROW()-ROW($I$12),3)=0,INDEX(RR!AK:AK,INT((ROW()-ROW($I$12))/3)+9),"")</f>
        <v>83</v>
      </c>
      <c r="M48" s="73">
        <f t="array" ref="M48">IF(MOD(ROW()-ROW($I$12),3)=0,INDEX(RR!AQ:AQ,INT((ROW()-ROW($I$12))/3)+9),"")</f>
        <v>86</v>
      </c>
      <c r="N48" s="73">
        <f t="array" ref="N48">IF(MOD(ROW()-ROW($I$12),3)=0,INDEX(RR!AW:AW,INT((ROW()-ROW($I$12))/3)+9),"")</f>
        <v>80</v>
      </c>
      <c r="O48" s="73">
        <f t="array" ref="O48">IF(MOD(ROW()-ROW($I$12),3)=0,INDEX(RR!BB:BB,INT((ROW()-ROW($I$12))/3)+9),"")</f>
        <v>0</v>
      </c>
      <c r="P48" s="73">
        <f t="array" ref="P48">IF(MOD(ROW()-ROW($I$12),3)=0,INDEX(RR!BF:BF,INT((ROW()-ROW($I$12))/3)+9),"")</f>
        <v>93.333333333333329</v>
      </c>
      <c r="Q48" s="73">
        <f t="array" ref="Q48">IF(MOD(ROW()-ROW($I$12),3)=0,INDEX(RR!BI:BI,INT((ROW()-ROW($I$12))/3)+9),"")</f>
        <v>82</v>
      </c>
      <c r="R48" s="73">
        <f t="array" ref="R48">IF(MOD(ROW()-ROW($I$12),3)=0,INDEX(RR!BL:BL,INT((ROW()-ROW($I$12))/3)+9),"")</f>
        <v>93.333333333333329</v>
      </c>
      <c r="S48" s="73" t="e">
        <f t="array" ref="S48">IF(MOD(ROW()-ROW($I$12),3)=0,INDEX(RR!BP:BP,INT((ROW()-ROW($I$12))/3)+9),"")</f>
        <v>#DIV/0!</v>
      </c>
      <c r="T48" s="73" t="e">
        <f t="array" ref="T48">IF(MOD(ROW()-ROW($I$12),3)=0,INDEX(RR!BT:BT,INT((ROW()-ROW($I$12))/3)+9),"")</f>
        <v>#DIV/0!</v>
      </c>
      <c r="U48" s="73">
        <f t="array" ref="U48">IF(MOD(ROW()-ROW($I$12),3)=0,INDEX(RR!BV:BV,INT((ROW()-ROW($I$12))/3)+9),"")</f>
        <v>0</v>
      </c>
      <c r="V48" s="73" t="e">
        <f t="array" ref="V48">IF(MOD(ROW()-ROW($I$12),3)=0,INDEX(RR!BZ:BZ,INT((ROW()-ROW($I$12))/3)+9),"")</f>
        <v>#DIV/0!</v>
      </c>
      <c r="W48" s="73" t="e">
        <f t="shared" ref="W48:W49" si="37">IF(MOD(ROW()-ROW($W$12),3)&lt;&gt;2,SUM(G48:V48),"")</f>
        <v>#DIV/0!</v>
      </c>
      <c r="X48" s="73" t="e">
        <f>IF(MOD(ROW()-ROW($X$12),3)&lt;&gt;2,ROUND(W48/16,2),"")</f>
        <v>#DIV/0!</v>
      </c>
      <c r="Y48" s="70"/>
      <c r="Z48" s="74" t="e">
        <f t="array" ref="Z48">IF(MOD(ROW()-ROW($Z$12),3)=0,IF(INDEX(X:X,ROW()+2)&gt;=$AC$9,"L","TL"),"")</f>
        <v>#DIV/0!</v>
      </c>
      <c r="AA48" s="56"/>
      <c r="AB48" s="56"/>
      <c r="AC48" s="56"/>
      <c r="AD48" s="56"/>
      <c r="AE48" s="56"/>
    </row>
    <row r="49" spans="1:31" ht="14.5">
      <c r="A49" s="70" t="str">
        <f t="shared" si="36"/>
        <v/>
      </c>
      <c r="B49" s="70" t="str">
        <f t="array" ref="B49">IF(MOD(ROW()-ROW($B$12),3)=0,INDEX(BIODATA!B:B,INT((ROW()-ROW($B$12))/3)+24),"")</f>
        <v/>
      </c>
      <c r="C49" s="70"/>
      <c r="D49" s="71"/>
      <c r="E49" s="70"/>
      <c r="F49" s="72" t="s">
        <v>105</v>
      </c>
      <c r="G49" s="73">
        <f t="array" ref="G49">IF(MOD(ROW()-ROW($G$12),3)=1,INDEX(PSAJ!F:F,INT((ROW()-ROW($G$12))/3)+8),"")</f>
        <v>80</v>
      </c>
      <c r="H49" s="73">
        <f t="array" ref="H49">IF(MOD(ROW()-ROW($G$12),3)=1,INDEX(PSAJ!G:G,INT((ROW()-ROW($G$12))/3)+8),"")</f>
        <v>82</v>
      </c>
      <c r="I49" s="73">
        <f t="array" ref="I49">IF(MOD(ROW()-ROW($G$12),3)=1,INDEX(PSAJ!H:H,INT((ROW()-ROW($G$12))/3)+8),"")</f>
        <v>84</v>
      </c>
      <c r="J49" s="73">
        <f t="array" ref="J49">IF(MOD(ROW()-ROW($G$12),3)=1,INDEX(PSAJ!I:I,INT((ROW()-ROW($G$12))/3)+8),"")</f>
        <v>82</v>
      </c>
      <c r="K49" s="73">
        <f t="array" ref="K49">IF(MOD(ROW()-ROW($G$12),3)=1,INDEX(PSAJ!J:J,INT((ROW()-ROW($G$12))/3)+8),"")</f>
        <v>81</v>
      </c>
      <c r="L49" s="73">
        <f t="array" ref="L49">IF(MOD(ROW()-ROW($G$12),3)=1,INDEX(PSAJ!K:K,INT((ROW()-ROW($G$12))/3)+8),"")</f>
        <v>81</v>
      </c>
      <c r="M49" s="73">
        <f t="array" ref="M49">IF(MOD(ROW()-ROW($G$12),3)=1,INDEX(PSAJ!L:L,INT((ROW()-ROW($G$12))/3)+8),"")</f>
        <v>82</v>
      </c>
      <c r="N49" s="73">
        <f t="array" ref="N49">IF(MOD(ROW()-ROW($G$12),3)=1,INDEX(PSAJ!M:M,INT((ROW()-ROW($G$12))/3)+8),"")</f>
        <v>80</v>
      </c>
      <c r="O49" s="73">
        <f t="array" ref="O49">IF(MOD(ROW()-ROW($G$12),3)=1,INDEX(PSAJ!N:N,INT((ROW()-ROW($G$12))/3)+8),"")</f>
        <v>80</v>
      </c>
      <c r="P49" s="73">
        <f t="array" ref="P49">IF(MOD(ROW()-ROW($G$12),3)=1,INDEX(PSAJ!O:O,INT((ROW()-ROW($G$12))/3)+8),"")</f>
        <v>80</v>
      </c>
      <c r="Q49" s="73">
        <f t="array" ref="Q49">IF(MOD(ROW()-ROW($G$12),3)=1,INDEX(PSAJ!P:P,INT((ROW()-ROW($G$12))/3)+8),"")</f>
        <v>80</v>
      </c>
      <c r="R49" s="73">
        <f t="array" ref="R49">IF(MOD(ROW()-ROW($G$12),3)=1,INDEX(PSAJ!Q:Q,INT((ROW()-ROW($G$12))/3)+8),"")</f>
        <v>84</v>
      </c>
      <c r="S49" s="73">
        <f t="array" ref="S49">IF(MOD(ROW()-ROW($G$12),3)=1,INDEX(PSAJ!R:R,INT((ROW()-ROW($G$12))/3)+8),"")</f>
        <v>85</v>
      </c>
      <c r="T49" s="73">
        <f t="array" ref="T49">IF(MOD(ROW()-ROW($G$12),3)=1,INDEX(PSAJ!S:S,INT((ROW()-ROW($G$12))/3)+8),"")</f>
        <v>82</v>
      </c>
      <c r="U49" s="73">
        <v>0</v>
      </c>
      <c r="V49" s="73">
        <f t="array" ref="V49">IF(MOD(ROW()-ROW($G$12),3)=1,INDEX(PSAJ!T:T,INT((ROW()-ROW($G$12))/3)+8),"")</f>
        <v>82</v>
      </c>
      <c r="W49" s="73">
        <f t="shared" si="37"/>
        <v>1225</v>
      </c>
      <c r="X49" s="73">
        <f>IF(MOD(ROW()-ROW($X$12),3)&lt;&gt;2,ROUND(W49/15,2),"")</f>
        <v>81.67</v>
      </c>
      <c r="Y49" s="70"/>
      <c r="Z49" s="75"/>
      <c r="AA49" s="56"/>
      <c r="AB49" s="56"/>
      <c r="AC49" s="56"/>
      <c r="AD49" s="56"/>
      <c r="AE49" s="56"/>
    </row>
    <row r="50" spans="1:31" ht="14.5">
      <c r="A50" s="70"/>
      <c r="B50" s="70"/>
      <c r="C50" s="70"/>
      <c r="D50" s="71"/>
      <c r="E50" s="70"/>
      <c r="F50" s="76" t="s">
        <v>135</v>
      </c>
      <c r="G50" s="77">
        <f t="shared" ref="G50:T50" si="38">IF(MOD(ROW()-ROW($G$12),3)=2,((INDEX(G:G,ROW()-2)*$AC$4)+(INDEX(G:G,ROW()-1)*$AE$4))/$AD$5,"")</f>
        <v>83</v>
      </c>
      <c r="H50" s="77">
        <f t="shared" si="38"/>
        <v>90.5</v>
      </c>
      <c r="I50" s="77">
        <f t="shared" si="38"/>
        <v>82</v>
      </c>
      <c r="J50" s="77">
        <f t="shared" si="38"/>
        <v>84</v>
      </c>
      <c r="K50" s="77">
        <f t="shared" si="38"/>
        <v>84.5</v>
      </c>
      <c r="L50" s="77">
        <f t="shared" si="38"/>
        <v>82</v>
      </c>
      <c r="M50" s="77">
        <f t="shared" si="38"/>
        <v>84</v>
      </c>
      <c r="N50" s="77">
        <f t="shared" si="38"/>
        <v>80</v>
      </c>
      <c r="O50" s="77">
        <f t="shared" si="38"/>
        <v>40</v>
      </c>
      <c r="P50" s="77">
        <f t="shared" si="38"/>
        <v>86.666666666666657</v>
      </c>
      <c r="Q50" s="77">
        <f t="shared" si="38"/>
        <v>81</v>
      </c>
      <c r="R50" s="77">
        <f t="shared" si="38"/>
        <v>88.666666666666657</v>
      </c>
      <c r="S50" s="77" t="e">
        <f t="shared" si="38"/>
        <v>#DIV/0!</v>
      </c>
      <c r="T50" s="77" t="e">
        <f t="shared" si="38"/>
        <v>#DIV/0!</v>
      </c>
      <c r="U50" s="77">
        <f t="array" ref="U50">IF(MOD(ROW()-ROW($U$12),3)=2,N(INDEX(U:U,ROW()-2)),0)</f>
        <v>0</v>
      </c>
      <c r="V50" s="77" t="e">
        <f>IF(MOD(ROW()-ROW($G$12),3)=2,((INDEX(V:V,ROW()-2)*$AC$4)+(INDEX(V:V,ROW()-1)*$AE$4))/$AD$5,"")</f>
        <v>#DIV/0!</v>
      </c>
      <c r="W50" s="77" t="e">
        <f>IF(MOD(ROW()-ROW($G$12),3)=2,((INDEX(W:W,ROW()-2)*$AC$4)+(INDEX(W:W,ROW()-1)*$AE$4))/$AD$5,"")</f>
        <v>#DIV/0!</v>
      </c>
      <c r="X50" s="77" t="e">
        <f>IF(MOD(ROW()-ROW($G$12),3)=2,((INDEX(X:X,ROW()-2)*$AC$4)+(INDEX(X:X,ROW()-1)*$AE$4))/$AD$5,"")</f>
        <v>#DIV/0!</v>
      </c>
      <c r="Y50" s="78"/>
      <c r="Z50" s="77"/>
      <c r="AA50" s="56"/>
      <c r="AB50" s="56"/>
      <c r="AC50" s="56"/>
      <c r="AD50" s="56"/>
      <c r="AE50" s="56"/>
    </row>
    <row r="51" spans="1:31" ht="14.5">
      <c r="A51" s="70">
        <f t="shared" ref="A51:A52" si="39">IF(MOD(ROW()-12,3)=0,INT((ROW()-12)/3)+1,"")</f>
        <v>14</v>
      </c>
      <c r="B51" s="70">
        <f t="array" ref="B51">IF(MOD(ROW()-ROW($B$12),3)=0,INDEX(BIODATA!B:B,INT((ROW()-ROW($B$12))/3)+24),"")</f>
        <v>0</v>
      </c>
      <c r="C51" s="70">
        <f t="array" ref="C51">IF(MOD(ROW()-ROW($B$12),3)=0,INDEX(BIODATA!C:C,INT((ROW()-ROW($B$12))/3)+24),"")</f>
        <v>0</v>
      </c>
      <c r="D51" s="71" t="str">
        <f t="array" ref="D51">IF(MOD(ROW()-ROW($B$12),3)=0,INDEX(BIODATA!D:D,INT((ROW()-ROW($B$12))/3)+24),"")</f>
        <v>MOCHAMAD DWI ADISATRIO</v>
      </c>
      <c r="E51" s="70" t="str">
        <f t="array" ref="E51">IF(MOD(ROW()-ROW($B$12),3)=0,INDEX(BIODATA!H:H,INT((ROW()-ROW($B$12))/3)+24),"")</f>
        <v>L</v>
      </c>
      <c r="F51" s="72" t="s">
        <v>134</v>
      </c>
      <c r="G51" s="73">
        <f t="array" ref="G51">IF(MOD(ROW()-ROW($G$12),3)=0,INDEX(RR!L:L,INT((ROW()-ROW($G$12))/3)+9),"")</f>
        <v>82</v>
      </c>
      <c r="H51" s="73">
        <f t="array" ref="H51">IF(MOD(ROW()-ROW($H$12),3)=0,INDEX(RR!R:R,INT((ROW()-ROW($H$12))/3)+9),"")</f>
        <v>78</v>
      </c>
      <c r="I51" s="73">
        <f t="array" ref="I51">IF(MOD(ROW()-ROW($I$12),3)=0,INDEX(RR!X:X,INT((ROW()-ROW($I$12))/3)+9),"")</f>
        <v>80</v>
      </c>
      <c r="J51" s="73">
        <f t="array" ref="J51">IF(MOD(ROW()-ROW($I$12),3)=0,INDEX(RR!AC:AC,INT((ROW()-ROW($I$12))/3)+9),"")</f>
        <v>86</v>
      </c>
      <c r="K51" s="73">
        <f t="array" ref="K51">IF(MOD(ROW()-ROW($I$12),3)=0,INDEX(RR!AH:AH,INT((ROW()-ROW($I$12))/3)+9),"")</f>
        <v>84</v>
      </c>
      <c r="L51" s="73">
        <f t="array" ref="L51">IF(MOD(ROW()-ROW($I$12),3)=0,INDEX(RR!AK:AK,INT((ROW()-ROW($I$12))/3)+9),"")</f>
        <v>80</v>
      </c>
      <c r="M51" s="73">
        <f t="array" ref="M51">IF(MOD(ROW()-ROW($I$12),3)=0,INDEX(RR!AQ:AQ,INT((ROW()-ROW($I$12))/3)+9),"")</f>
        <v>82</v>
      </c>
      <c r="N51" s="73">
        <f t="array" ref="N51">IF(MOD(ROW()-ROW($I$12),3)=0,INDEX(RR!AW:AW,INT((ROW()-ROW($I$12))/3)+9),"")</f>
        <v>79</v>
      </c>
      <c r="O51" s="73">
        <f t="array" ref="O51">IF(MOD(ROW()-ROW($I$12),3)=0,INDEX(RR!BB:BB,INT((ROW()-ROW($I$12))/3)+9),"")</f>
        <v>0</v>
      </c>
      <c r="P51" s="73">
        <f t="array" ref="P51">IF(MOD(ROW()-ROW($I$12),3)=0,INDEX(RR!BF:BF,INT((ROW()-ROW($I$12))/3)+9),"")</f>
        <v>78</v>
      </c>
      <c r="Q51" s="73">
        <f t="array" ref="Q51">IF(MOD(ROW()-ROW($I$12),3)=0,INDEX(RR!BI:BI,INT((ROW()-ROW($I$12))/3)+9),"")</f>
        <v>82</v>
      </c>
      <c r="R51" s="73">
        <f t="array" ref="R51">IF(MOD(ROW()-ROW($I$12),3)=0,INDEX(RR!BL:BL,INT((ROW()-ROW($I$12))/3)+9),"")</f>
        <v>78</v>
      </c>
      <c r="S51" s="73" t="e">
        <f t="array" ref="S51">IF(MOD(ROW()-ROW($I$12),3)=0,INDEX(RR!BP:BP,INT((ROW()-ROW($I$12))/3)+9),"")</f>
        <v>#DIV/0!</v>
      </c>
      <c r="T51" s="73" t="e">
        <f t="array" ref="T51">IF(MOD(ROW()-ROW($I$12),3)=0,INDEX(RR!BT:BT,INT((ROW()-ROW($I$12))/3)+9),"")</f>
        <v>#DIV/0!</v>
      </c>
      <c r="U51" s="73">
        <f t="array" ref="U51">IF(MOD(ROW()-ROW($I$12),3)=0,INDEX(RR!BV:BV,INT((ROW()-ROW($I$12))/3)+9),"")</f>
        <v>0</v>
      </c>
      <c r="V51" s="73" t="e">
        <f t="array" ref="V51">IF(MOD(ROW()-ROW($I$12),3)=0,INDEX(RR!BZ:BZ,INT((ROW()-ROW($I$12))/3)+9),"")</f>
        <v>#DIV/0!</v>
      </c>
      <c r="W51" s="73" t="e">
        <f t="shared" ref="W51:W52" si="40">IF(MOD(ROW()-ROW($W$12),3)&lt;&gt;2,SUM(G51:V51),"")</f>
        <v>#DIV/0!</v>
      </c>
      <c r="X51" s="73" t="e">
        <f>IF(MOD(ROW()-ROW($X$12),3)&lt;&gt;2,ROUND(W51/16,2),"")</f>
        <v>#DIV/0!</v>
      </c>
      <c r="Y51" s="70"/>
      <c r="Z51" s="74" t="e">
        <f t="array" ref="Z51">IF(MOD(ROW()-ROW($Z$12),3)=0,IF(INDEX(X:X,ROW()+2)&gt;=$AC$9,"L","TL"),"")</f>
        <v>#DIV/0!</v>
      </c>
      <c r="AA51" s="56"/>
      <c r="AB51" s="56"/>
      <c r="AC51" s="56"/>
      <c r="AD51" s="56"/>
      <c r="AE51" s="56"/>
    </row>
    <row r="52" spans="1:31" ht="14.5">
      <c r="A52" s="70" t="str">
        <f t="shared" si="39"/>
        <v/>
      </c>
      <c r="B52" s="70" t="str">
        <f t="array" ref="B52">IF(MOD(ROW()-ROW($B$12),3)=0,INDEX(BIODATA!B:B,INT((ROW()-ROW($B$12))/3)+24),"")</f>
        <v/>
      </c>
      <c r="C52" s="70"/>
      <c r="D52" s="71"/>
      <c r="E52" s="70"/>
      <c r="F52" s="72" t="s">
        <v>105</v>
      </c>
      <c r="G52" s="73">
        <f t="array" ref="G52">IF(MOD(ROW()-ROW($G$12),3)=1,INDEX(PSAJ!F:F,INT((ROW()-ROW($G$12))/3)+8),"")</f>
        <v>81</v>
      </c>
      <c r="H52" s="73">
        <f t="array" ref="H52">IF(MOD(ROW()-ROW($G$12),3)=1,INDEX(PSAJ!G:G,INT((ROW()-ROW($G$12))/3)+8),"")</f>
        <v>80</v>
      </c>
      <c r="I52" s="73">
        <f t="array" ref="I52">IF(MOD(ROW()-ROW($G$12),3)=1,INDEX(PSAJ!H:H,INT((ROW()-ROW($G$12))/3)+8),"")</f>
        <v>80</v>
      </c>
      <c r="J52" s="73">
        <f t="array" ref="J52">IF(MOD(ROW()-ROW($G$12),3)=1,INDEX(PSAJ!I:I,INT((ROW()-ROW($G$12))/3)+8),"")</f>
        <v>80</v>
      </c>
      <c r="K52" s="73">
        <f t="array" ref="K52">IF(MOD(ROW()-ROW($G$12),3)=1,INDEX(PSAJ!J:J,INT((ROW()-ROW($G$12))/3)+8),"")</f>
        <v>80</v>
      </c>
      <c r="L52" s="73">
        <f t="array" ref="L52">IF(MOD(ROW()-ROW($G$12),3)=1,INDEX(PSAJ!K:K,INT((ROW()-ROW($G$12))/3)+8),"")</f>
        <v>83</v>
      </c>
      <c r="M52" s="73">
        <f t="array" ref="M52">IF(MOD(ROW()-ROW($G$12),3)=1,INDEX(PSAJ!L:L,INT((ROW()-ROW($G$12))/3)+8),"")</f>
        <v>80</v>
      </c>
      <c r="N52" s="73">
        <f t="array" ref="N52">IF(MOD(ROW()-ROW($G$12),3)=1,INDEX(PSAJ!M:M,INT((ROW()-ROW($G$12))/3)+8),"")</f>
        <v>89</v>
      </c>
      <c r="O52" s="73">
        <f t="array" ref="O52">IF(MOD(ROW()-ROW($G$12),3)=1,INDEX(PSAJ!N:N,INT((ROW()-ROW($G$12))/3)+8),"")</f>
        <v>80</v>
      </c>
      <c r="P52" s="73">
        <f t="array" ref="P52">IF(MOD(ROW()-ROW($G$12),3)=1,INDEX(PSAJ!O:O,INT((ROW()-ROW($G$12))/3)+8),"")</f>
        <v>84</v>
      </c>
      <c r="Q52" s="73">
        <f t="array" ref="Q52">IF(MOD(ROW()-ROW($G$12),3)=1,INDEX(PSAJ!P:P,INT((ROW()-ROW($G$12))/3)+8),"")</f>
        <v>79</v>
      </c>
      <c r="R52" s="73">
        <f t="array" ref="R52">IF(MOD(ROW()-ROW($G$12),3)=1,INDEX(PSAJ!Q:Q,INT((ROW()-ROW($G$12))/3)+8),"")</f>
        <v>89</v>
      </c>
      <c r="S52" s="73">
        <f t="array" ref="S52">IF(MOD(ROW()-ROW($G$12),3)=1,INDEX(PSAJ!R:R,INT((ROW()-ROW($G$12))/3)+8),"")</f>
        <v>84</v>
      </c>
      <c r="T52" s="73">
        <f t="array" ref="T52">IF(MOD(ROW()-ROW($G$12),3)=1,INDEX(PSAJ!S:S,INT((ROW()-ROW($G$12))/3)+8),"")</f>
        <v>89</v>
      </c>
      <c r="U52" s="73">
        <v>0</v>
      </c>
      <c r="V52" s="73">
        <f t="array" ref="V52">IF(MOD(ROW()-ROW($G$12),3)=1,INDEX(PSAJ!T:T,INT((ROW()-ROW($G$12))/3)+8),"")</f>
        <v>89</v>
      </c>
      <c r="W52" s="73">
        <f t="shared" si="40"/>
        <v>1247</v>
      </c>
      <c r="X52" s="73">
        <f>IF(MOD(ROW()-ROW($X$12),3)&lt;&gt;2,ROUND(W52/15,2),"")</f>
        <v>83.13</v>
      </c>
      <c r="Y52" s="70"/>
      <c r="Z52" s="75"/>
      <c r="AA52" s="56"/>
      <c r="AB52" s="56"/>
      <c r="AC52" s="56"/>
      <c r="AD52" s="56"/>
      <c r="AE52" s="56"/>
    </row>
    <row r="53" spans="1:31" ht="14.5">
      <c r="A53" s="70"/>
      <c r="B53" s="70"/>
      <c r="C53" s="70"/>
      <c r="D53" s="71"/>
      <c r="E53" s="70"/>
      <c r="F53" s="76" t="s">
        <v>135</v>
      </c>
      <c r="G53" s="77">
        <f t="shared" ref="G53:T53" si="41">IF(MOD(ROW()-ROW($G$12),3)=2,((INDEX(G:G,ROW()-2)*$AC$4)+(INDEX(G:G,ROW()-1)*$AE$4))/$AD$5,"")</f>
        <v>81.5</v>
      </c>
      <c r="H53" s="77">
        <f t="shared" si="41"/>
        <v>79</v>
      </c>
      <c r="I53" s="77">
        <f t="shared" si="41"/>
        <v>80</v>
      </c>
      <c r="J53" s="77">
        <f t="shared" si="41"/>
        <v>83</v>
      </c>
      <c r="K53" s="77">
        <f t="shared" si="41"/>
        <v>82</v>
      </c>
      <c r="L53" s="77">
        <f t="shared" si="41"/>
        <v>81.5</v>
      </c>
      <c r="M53" s="77">
        <f t="shared" si="41"/>
        <v>81</v>
      </c>
      <c r="N53" s="77">
        <f t="shared" si="41"/>
        <v>84</v>
      </c>
      <c r="O53" s="77">
        <f t="shared" si="41"/>
        <v>40</v>
      </c>
      <c r="P53" s="77">
        <f t="shared" si="41"/>
        <v>81</v>
      </c>
      <c r="Q53" s="77">
        <f t="shared" si="41"/>
        <v>80.5</v>
      </c>
      <c r="R53" s="77">
        <f t="shared" si="41"/>
        <v>83.5</v>
      </c>
      <c r="S53" s="77" t="e">
        <f t="shared" si="41"/>
        <v>#DIV/0!</v>
      </c>
      <c r="T53" s="77" t="e">
        <f t="shared" si="41"/>
        <v>#DIV/0!</v>
      </c>
      <c r="U53" s="77">
        <f t="array" ref="U53">IF(MOD(ROW()-ROW($U$12),3)=2,N(INDEX(U:U,ROW()-2)),0)</f>
        <v>0</v>
      </c>
      <c r="V53" s="77" t="e">
        <f>IF(MOD(ROW()-ROW($G$12),3)=2,((INDEX(V:V,ROW()-2)*$AC$4)+(INDEX(V:V,ROW()-1)*$AE$4))/$AD$5,"")</f>
        <v>#DIV/0!</v>
      </c>
      <c r="W53" s="77" t="e">
        <f>IF(MOD(ROW()-ROW($G$12),3)=2,((INDEX(W:W,ROW()-2)*$AC$4)+(INDEX(W:W,ROW()-1)*$AE$4))/$AD$5,"")</f>
        <v>#DIV/0!</v>
      </c>
      <c r="X53" s="77" t="e">
        <f>IF(MOD(ROW()-ROW($G$12),3)=2,((INDEX(X:X,ROW()-2)*$AC$4)+(INDEX(X:X,ROW()-1)*$AE$4))/$AD$5,"")</f>
        <v>#DIV/0!</v>
      </c>
      <c r="Y53" s="78"/>
      <c r="Z53" s="77"/>
      <c r="AA53" s="56"/>
      <c r="AB53" s="56"/>
      <c r="AC53" s="56"/>
      <c r="AD53" s="56"/>
      <c r="AE53" s="56"/>
    </row>
    <row r="54" spans="1:31" ht="14.5">
      <c r="A54" s="70">
        <f t="shared" ref="A54:A55" si="42">IF(MOD(ROW()-12,3)=0,INT((ROW()-12)/3)+1,"")</f>
        <v>15</v>
      </c>
      <c r="B54" s="70">
        <f t="array" ref="B54">IF(MOD(ROW()-ROW($B$12),3)=0,INDEX(BIODATA!B:B,INT((ROW()-ROW($B$12))/3)+24),"")</f>
        <v>0</v>
      </c>
      <c r="C54" s="70">
        <f t="array" ref="C54">IF(MOD(ROW()-ROW($B$12),3)=0,INDEX(BIODATA!C:C,INT((ROW()-ROW($B$12))/3)+24),"")</f>
        <v>0</v>
      </c>
      <c r="D54" s="71" t="str">
        <f t="array" ref="D54">IF(MOD(ROW()-ROW($B$12),3)=0,INDEX(BIODATA!D:D,INT((ROW()-ROW($B$12))/3)+24),"")</f>
        <v>MOHAMMAD BAMBANG SUBANDI</v>
      </c>
      <c r="E54" s="70" t="str">
        <f t="array" ref="E54">IF(MOD(ROW()-ROW($B$12),3)=0,INDEX(BIODATA!H:H,INT((ROW()-ROW($B$12))/3)+24),"")</f>
        <v>L</v>
      </c>
      <c r="F54" s="72" t="s">
        <v>134</v>
      </c>
      <c r="G54" s="73">
        <f t="array" ref="G54">IF(MOD(ROW()-ROW($G$12),3)=0,INDEX(RR!L:L,INT((ROW()-ROW($G$12))/3)+9),"")</f>
        <v>88</v>
      </c>
      <c r="H54" s="73">
        <f t="array" ref="H54">IF(MOD(ROW()-ROW($H$12),3)=0,INDEX(RR!R:R,INT((ROW()-ROW($H$12))/3)+9),"")</f>
        <v>90</v>
      </c>
      <c r="I54" s="73">
        <f t="array" ref="I54">IF(MOD(ROW()-ROW($I$12),3)=0,INDEX(RR!X:X,INT((ROW()-ROW($I$12))/3)+9),"")</f>
        <v>80</v>
      </c>
      <c r="J54" s="73">
        <f t="array" ref="J54">IF(MOD(ROW()-ROW($I$12),3)=0,INDEX(RR!AC:AC,INT((ROW()-ROW($I$12))/3)+9),"")</f>
        <v>83</v>
      </c>
      <c r="K54" s="73">
        <f t="array" ref="K54">IF(MOD(ROW()-ROW($I$12),3)=0,INDEX(RR!AH:AH,INT((ROW()-ROW($I$12))/3)+9),"")</f>
        <v>90</v>
      </c>
      <c r="L54" s="73">
        <f t="array" ref="L54">IF(MOD(ROW()-ROW($I$12),3)=0,INDEX(RR!AK:AK,INT((ROW()-ROW($I$12))/3)+9),"")</f>
        <v>86</v>
      </c>
      <c r="M54" s="73">
        <f t="array" ref="M54">IF(MOD(ROW()-ROW($I$12),3)=0,INDEX(RR!AQ:AQ,INT((ROW()-ROW($I$12))/3)+9),"")</f>
        <v>88</v>
      </c>
      <c r="N54" s="73">
        <f t="array" ref="N54">IF(MOD(ROW()-ROW($I$12),3)=0,INDEX(RR!AW:AW,INT((ROW()-ROW($I$12))/3)+9),"")</f>
        <v>79</v>
      </c>
      <c r="O54" s="73">
        <f t="array" ref="O54">IF(MOD(ROW()-ROW($I$12),3)=0,INDEX(RR!BB:BB,INT((ROW()-ROW($I$12))/3)+9),"")</f>
        <v>0</v>
      </c>
      <c r="P54" s="73">
        <f t="array" ref="P54">IF(MOD(ROW()-ROW($I$12),3)=0,INDEX(RR!BF:BF,INT((ROW()-ROW($I$12))/3)+9),"")</f>
        <v>93</v>
      </c>
      <c r="Q54" s="73">
        <f t="array" ref="Q54">IF(MOD(ROW()-ROW($I$12),3)=0,INDEX(RR!BI:BI,INT((ROW()-ROW($I$12))/3)+9),"")</f>
        <v>80</v>
      </c>
      <c r="R54" s="73">
        <f t="array" ref="R54">IF(MOD(ROW()-ROW($I$12),3)=0,INDEX(RR!BL:BL,INT((ROW()-ROW($I$12))/3)+9),"")</f>
        <v>93</v>
      </c>
      <c r="S54" s="73" t="e">
        <f t="array" ref="S54">IF(MOD(ROW()-ROW($I$12),3)=0,INDEX(RR!BP:BP,INT((ROW()-ROW($I$12))/3)+9),"")</f>
        <v>#DIV/0!</v>
      </c>
      <c r="T54" s="73" t="e">
        <f t="array" ref="T54">IF(MOD(ROW()-ROW($I$12),3)=0,INDEX(RR!BT:BT,INT((ROW()-ROW($I$12))/3)+9),"")</f>
        <v>#DIV/0!</v>
      </c>
      <c r="U54" s="73">
        <f t="array" ref="U54">IF(MOD(ROW()-ROW($I$12),3)=0,INDEX(RR!BV:BV,INT((ROW()-ROW($I$12))/3)+9),"")</f>
        <v>0</v>
      </c>
      <c r="V54" s="73" t="e">
        <f t="array" ref="V54">IF(MOD(ROW()-ROW($I$12),3)=0,INDEX(RR!BZ:BZ,INT((ROW()-ROW($I$12))/3)+9),"")</f>
        <v>#DIV/0!</v>
      </c>
      <c r="W54" s="73" t="e">
        <f t="shared" ref="W54:W55" si="43">IF(MOD(ROW()-ROW($W$12),3)&lt;&gt;2,SUM(G54:V54),"")</f>
        <v>#DIV/0!</v>
      </c>
      <c r="X54" s="73" t="e">
        <f>IF(MOD(ROW()-ROW($X$12),3)&lt;&gt;2,ROUND(W54/16,2),"")</f>
        <v>#DIV/0!</v>
      </c>
      <c r="Y54" s="70"/>
      <c r="Z54" s="74" t="e">
        <f t="array" ref="Z54">IF(MOD(ROW()-ROW($Z$12),3)=0,IF(INDEX(X:X,ROW()+2)&gt;=$AC$9,"L","TL"),"")</f>
        <v>#DIV/0!</v>
      </c>
      <c r="AA54" s="56"/>
      <c r="AB54" s="56"/>
      <c r="AC54" s="56"/>
      <c r="AD54" s="56"/>
      <c r="AE54" s="56"/>
    </row>
    <row r="55" spans="1:31" ht="14.5">
      <c r="A55" s="70" t="str">
        <f t="shared" si="42"/>
        <v/>
      </c>
      <c r="B55" s="70" t="str">
        <f t="array" ref="B55">IF(MOD(ROW()-ROW($B$12),3)=0,INDEX(BIODATA!B:B,INT((ROW()-ROW($B$12))/3)+24),"")</f>
        <v/>
      </c>
      <c r="C55" s="70"/>
      <c r="D55" s="71"/>
      <c r="E55" s="70"/>
      <c r="F55" s="72" t="s">
        <v>105</v>
      </c>
      <c r="G55" s="73">
        <f t="array" ref="G55">IF(MOD(ROW()-ROW($G$12),3)=1,INDEX(PSAJ!F:F,INT((ROW()-ROW($G$12))/3)+8),"")</f>
        <v>83</v>
      </c>
      <c r="H55" s="73">
        <f t="array" ref="H55">IF(MOD(ROW()-ROW($G$12),3)=1,INDEX(PSAJ!G:G,INT((ROW()-ROW($G$12))/3)+8),"")</f>
        <v>80</v>
      </c>
      <c r="I55" s="73">
        <f t="array" ref="I55">IF(MOD(ROW()-ROW($G$12),3)=1,INDEX(PSAJ!H:H,INT((ROW()-ROW($G$12))/3)+8),"")</f>
        <v>80</v>
      </c>
      <c r="J55" s="73">
        <f t="array" ref="J55">IF(MOD(ROW()-ROW($G$12),3)=1,INDEX(PSAJ!I:I,INT((ROW()-ROW($G$12))/3)+8),"")</f>
        <v>78</v>
      </c>
      <c r="K55" s="73">
        <f t="array" ref="K55">IF(MOD(ROW()-ROW($G$12),3)=1,INDEX(PSAJ!J:J,INT((ROW()-ROW($G$12))/3)+8),"")</f>
        <v>81</v>
      </c>
      <c r="L55" s="73">
        <f t="array" ref="L55">IF(MOD(ROW()-ROW($G$12),3)=1,INDEX(PSAJ!K:K,INT((ROW()-ROW($G$12))/3)+8),"")</f>
        <v>82</v>
      </c>
      <c r="M55" s="73">
        <f t="array" ref="M55">IF(MOD(ROW()-ROW($G$12),3)=1,INDEX(PSAJ!L:L,INT((ROW()-ROW($G$12))/3)+8),"")</f>
        <v>78</v>
      </c>
      <c r="N55" s="73">
        <f t="array" ref="N55">IF(MOD(ROW()-ROW($G$12),3)=1,INDEX(PSAJ!M:M,INT((ROW()-ROW($G$12))/3)+8),"")</f>
        <v>87</v>
      </c>
      <c r="O55" s="73">
        <f t="array" ref="O55">IF(MOD(ROW()-ROW($G$12),3)=1,INDEX(PSAJ!N:N,INT((ROW()-ROW($G$12))/3)+8),"")</f>
        <v>78</v>
      </c>
      <c r="P55" s="73">
        <f t="array" ref="P55">IF(MOD(ROW()-ROW($G$12),3)=1,INDEX(PSAJ!O:O,INT((ROW()-ROW($G$12))/3)+8),"")</f>
        <v>82</v>
      </c>
      <c r="Q55" s="73">
        <f t="array" ref="Q55">IF(MOD(ROW()-ROW($G$12),3)=1,INDEX(PSAJ!P:P,INT((ROW()-ROW($G$12))/3)+8),"")</f>
        <v>80</v>
      </c>
      <c r="R55" s="73">
        <f t="array" ref="R55">IF(MOD(ROW()-ROW($G$12),3)=1,INDEX(PSAJ!Q:Q,INT((ROW()-ROW($G$12))/3)+8),"")</f>
        <v>87</v>
      </c>
      <c r="S55" s="73">
        <f t="array" ref="S55">IF(MOD(ROW()-ROW($G$12),3)=1,INDEX(PSAJ!R:R,INT((ROW()-ROW($G$12))/3)+8),"")</f>
        <v>84</v>
      </c>
      <c r="T55" s="73">
        <f t="array" ref="T55">IF(MOD(ROW()-ROW($G$12),3)=1,INDEX(PSAJ!S:S,INT((ROW()-ROW($G$12))/3)+8),"")</f>
        <v>87</v>
      </c>
      <c r="U55" s="73">
        <v>0</v>
      </c>
      <c r="V55" s="73">
        <f t="array" ref="V55">IF(MOD(ROW()-ROW($G$12),3)=1,INDEX(PSAJ!T:T,INT((ROW()-ROW($G$12))/3)+8),"")</f>
        <v>87</v>
      </c>
      <c r="W55" s="73">
        <f t="shared" si="43"/>
        <v>1234</v>
      </c>
      <c r="X55" s="73">
        <f>IF(MOD(ROW()-ROW($X$12),3)&lt;&gt;2,ROUND(W55/15,2),"")</f>
        <v>82.27</v>
      </c>
      <c r="Y55" s="70"/>
      <c r="Z55" s="75"/>
      <c r="AA55" s="56"/>
      <c r="AB55" s="56"/>
      <c r="AC55" s="56"/>
      <c r="AD55" s="56"/>
      <c r="AE55" s="56"/>
    </row>
    <row r="56" spans="1:31" ht="14.5">
      <c r="A56" s="70"/>
      <c r="B56" s="70"/>
      <c r="C56" s="70"/>
      <c r="D56" s="71"/>
      <c r="E56" s="70"/>
      <c r="F56" s="76" t="s">
        <v>135</v>
      </c>
      <c r="G56" s="77">
        <f t="shared" ref="G56:T56" si="44">IF(MOD(ROW()-ROW($G$12),3)=2,((INDEX(G:G,ROW()-2)*$AC$4)+(INDEX(G:G,ROW()-1)*$AE$4))/$AD$5,"")</f>
        <v>85.5</v>
      </c>
      <c r="H56" s="77">
        <f t="shared" si="44"/>
        <v>85</v>
      </c>
      <c r="I56" s="77">
        <f t="shared" si="44"/>
        <v>80</v>
      </c>
      <c r="J56" s="77">
        <f t="shared" si="44"/>
        <v>80.5</v>
      </c>
      <c r="K56" s="77">
        <f t="shared" si="44"/>
        <v>85.5</v>
      </c>
      <c r="L56" s="77">
        <f t="shared" si="44"/>
        <v>84</v>
      </c>
      <c r="M56" s="77">
        <f t="shared" si="44"/>
        <v>83</v>
      </c>
      <c r="N56" s="77">
        <f t="shared" si="44"/>
        <v>83</v>
      </c>
      <c r="O56" s="77">
        <f t="shared" si="44"/>
        <v>39</v>
      </c>
      <c r="P56" s="77">
        <f t="shared" si="44"/>
        <v>87.5</v>
      </c>
      <c r="Q56" s="77">
        <f t="shared" si="44"/>
        <v>80</v>
      </c>
      <c r="R56" s="77">
        <f t="shared" si="44"/>
        <v>90</v>
      </c>
      <c r="S56" s="77" t="e">
        <f t="shared" si="44"/>
        <v>#DIV/0!</v>
      </c>
      <c r="T56" s="77" t="e">
        <f t="shared" si="44"/>
        <v>#DIV/0!</v>
      </c>
      <c r="U56" s="77">
        <f t="array" ref="U56">IF(MOD(ROW()-ROW($U$12),3)=2,N(INDEX(U:U,ROW()-2)),0)</f>
        <v>0</v>
      </c>
      <c r="V56" s="77" t="e">
        <f>IF(MOD(ROW()-ROW($G$12),3)=2,((INDEX(V:V,ROW()-2)*$AC$4)+(INDEX(V:V,ROW()-1)*$AE$4))/$AD$5,"")</f>
        <v>#DIV/0!</v>
      </c>
      <c r="W56" s="77" t="e">
        <f>IF(MOD(ROW()-ROW($G$12),3)=2,((INDEX(W:W,ROW()-2)*$AC$4)+(INDEX(W:W,ROW()-1)*$AE$4))/$AD$5,"")</f>
        <v>#DIV/0!</v>
      </c>
      <c r="X56" s="77" t="e">
        <f>IF(MOD(ROW()-ROW($G$12),3)=2,((INDEX(X:X,ROW()-2)*$AC$4)+(INDEX(X:X,ROW()-1)*$AE$4))/$AD$5,"")</f>
        <v>#DIV/0!</v>
      </c>
      <c r="Y56" s="78"/>
      <c r="Z56" s="77"/>
      <c r="AA56" s="56"/>
      <c r="AB56" s="56"/>
      <c r="AC56" s="56"/>
      <c r="AD56" s="56"/>
      <c r="AE56" s="56"/>
    </row>
    <row r="57" spans="1:31" ht="14.5">
      <c r="A57" s="70">
        <f t="shared" ref="A57:A58" si="45">IF(MOD(ROW()-12,3)=0,INT((ROW()-12)/3)+1,"")</f>
        <v>16</v>
      </c>
      <c r="B57" s="70">
        <f t="array" ref="B57">IF(MOD(ROW()-ROW($B$12),3)=0,INDEX(BIODATA!B:B,INT((ROW()-ROW($B$12))/3)+24),"")</f>
        <v>0</v>
      </c>
      <c r="C57" s="70">
        <f t="array" ref="C57">IF(MOD(ROW()-ROW($B$12),3)=0,INDEX(BIODATA!C:C,INT((ROW()-ROW($B$12))/3)+24),"")</f>
        <v>0</v>
      </c>
      <c r="D57" s="71" t="str">
        <f t="array" ref="D57">IF(MOD(ROW()-ROW($B$12),3)=0,INDEX(BIODATA!D:D,INT((ROW()-ROW($B$12))/3)+24),"")</f>
        <v>MOHAMMAD ILHAM ABDULLOH</v>
      </c>
      <c r="E57" s="70" t="str">
        <f t="array" ref="E57">IF(MOD(ROW()-ROW($B$12),3)=0,INDEX(BIODATA!H:H,INT((ROW()-ROW($B$12))/3)+24),"")</f>
        <v>L</v>
      </c>
      <c r="F57" s="72" t="s">
        <v>134</v>
      </c>
      <c r="G57" s="73">
        <f t="array" ref="G57">IF(MOD(ROW()-ROW($G$12),3)=0,INDEX(RR!L:L,INT((ROW()-ROW($G$12))/3)+9),"")</f>
        <v>85</v>
      </c>
      <c r="H57" s="73">
        <f t="array" ref="H57">IF(MOD(ROW()-ROW($H$12),3)=0,INDEX(RR!R:R,INT((ROW()-ROW($H$12))/3)+9),"")</f>
        <v>90</v>
      </c>
      <c r="I57" s="73">
        <f t="array" ref="I57">IF(MOD(ROW()-ROW($I$12),3)=0,INDEX(RR!X:X,INT((ROW()-ROW($I$12))/3)+9),"")</f>
        <v>82</v>
      </c>
      <c r="J57" s="73">
        <f t="array" ref="J57">IF(MOD(ROW()-ROW($I$12),3)=0,INDEX(RR!AC:AC,INT((ROW()-ROW($I$12))/3)+9),"")</f>
        <v>86</v>
      </c>
      <c r="K57" s="73">
        <f t="array" ref="K57">IF(MOD(ROW()-ROW($I$12),3)=0,INDEX(RR!AH:AH,INT((ROW()-ROW($I$12))/3)+9),"")</f>
        <v>87</v>
      </c>
      <c r="L57" s="73">
        <f t="array" ref="L57">IF(MOD(ROW()-ROW($I$12),3)=0,INDEX(RR!AK:AK,INT((ROW()-ROW($I$12))/3)+9),"")</f>
        <v>80</v>
      </c>
      <c r="M57" s="73">
        <f t="array" ref="M57">IF(MOD(ROW()-ROW($I$12),3)=0,INDEX(RR!AQ:AQ,INT((ROW()-ROW($I$12))/3)+9),"")</f>
        <v>85</v>
      </c>
      <c r="N57" s="73">
        <f t="array" ref="N57">IF(MOD(ROW()-ROW($I$12),3)=0,INDEX(RR!AW:AW,INT((ROW()-ROW($I$12))/3)+9),"")</f>
        <v>79</v>
      </c>
      <c r="O57" s="73">
        <f t="array" ref="O57">IF(MOD(ROW()-ROW($I$12),3)=0,INDEX(RR!BB:BB,INT((ROW()-ROW($I$12))/3)+9),"")</f>
        <v>0</v>
      </c>
      <c r="P57" s="73">
        <f t="array" ref="P57">IF(MOD(ROW()-ROW($I$12),3)=0,INDEX(RR!BF:BF,INT((ROW()-ROW($I$12))/3)+9),"")</f>
        <v>86.666666666666657</v>
      </c>
      <c r="Q57" s="73">
        <f t="array" ref="Q57">IF(MOD(ROW()-ROW($I$12),3)=0,INDEX(RR!BI:BI,INT((ROW()-ROW($I$12))/3)+9),"")</f>
        <v>82</v>
      </c>
      <c r="R57" s="73">
        <f t="array" ref="R57">IF(MOD(ROW()-ROW($I$12),3)=0,INDEX(RR!BL:BL,INT((ROW()-ROW($I$12))/3)+9),"")</f>
        <v>86.666666666666657</v>
      </c>
      <c r="S57" s="73" t="e">
        <f t="array" ref="S57">IF(MOD(ROW()-ROW($I$12),3)=0,INDEX(RR!BP:BP,INT((ROW()-ROW($I$12))/3)+9),"")</f>
        <v>#DIV/0!</v>
      </c>
      <c r="T57" s="73" t="e">
        <f t="array" ref="T57">IF(MOD(ROW()-ROW($I$12),3)=0,INDEX(RR!BT:BT,INT((ROW()-ROW($I$12))/3)+9),"")</f>
        <v>#DIV/0!</v>
      </c>
      <c r="U57" s="73">
        <f t="array" ref="U57">IF(MOD(ROW()-ROW($I$12),3)=0,INDEX(RR!BV:BV,INT((ROW()-ROW($I$12))/3)+9),"")</f>
        <v>0</v>
      </c>
      <c r="V57" s="73" t="e">
        <f t="array" ref="V57">IF(MOD(ROW()-ROW($I$12),3)=0,INDEX(RR!BZ:BZ,INT((ROW()-ROW($I$12))/3)+9),"")</f>
        <v>#DIV/0!</v>
      </c>
      <c r="W57" s="73" t="e">
        <f t="shared" ref="W57:W58" si="46">IF(MOD(ROW()-ROW($W$12),3)&lt;&gt;2,SUM(G57:V57),"")</f>
        <v>#DIV/0!</v>
      </c>
      <c r="X57" s="73" t="e">
        <f>IF(MOD(ROW()-ROW($X$12),3)&lt;&gt;2,ROUND(W57/16,2),"")</f>
        <v>#DIV/0!</v>
      </c>
      <c r="Y57" s="70"/>
      <c r="Z57" s="74" t="e">
        <f t="array" ref="Z57">IF(MOD(ROW()-ROW($Z$12),3)=0,IF(INDEX(X:X,ROW()+2)&gt;=$AC$9,"L","TL"),"")</f>
        <v>#DIV/0!</v>
      </c>
      <c r="AA57" s="56"/>
      <c r="AB57" s="56"/>
      <c r="AC57" s="56"/>
      <c r="AD57" s="56"/>
      <c r="AE57" s="56"/>
    </row>
    <row r="58" spans="1:31" ht="14.5">
      <c r="A58" s="70" t="str">
        <f t="shared" si="45"/>
        <v/>
      </c>
      <c r="B58" s="70" t="str">
        <f t="array" ref="B58">IF(MOD(ROW()-ROW($B$12),3)=0,INDEX(BIODATA!B:B,INT((ROW()-ROW($B$12))/3)+24),"")</f>
        <v/>
      </c>
      <c r="C58" s="70"/>
      <c r="D58" s="71"/>
      <c r="E58" s="70"/>
      <c r="F58" s="72" t="s">
        <v>105</v>
      </c>
      <c r="G58" s="73">
        <f t="array" ref="G58">IF(MOD(ROW()-ROW($G$12),3)=1,INDEX(PSAJ!F:F,INT((ROW()-ROW($G$12))/3)+8),"")</f>
        <v>79</v>
      </c>
      <c r="H58" s="73">
        <f t="array" ref="H58">IF(MOD(ROW()-ROW($G$12),3)=1,INDEX(PSAJ!G:G,INT((ROW()-ROW($G$12))/3)+8),"")</f>
        <v>80</v>
      </c>
      <c r="I58" s="73">
        <f t="array" ref="I58">IF(MOD(ROW()-ROW($G$12),3)=1,INDEX(PSAJ!H:H,INT((ROW()-ROW($G$12))/3)+8),"")</f>
        <v>78</v>
      </c>
      <c r="J58" s="73">
        <f t="array" ref="J58">IF(MOD(ROW()-ROW($G$12),3)=1,INDEX(PSAJ!I:I,INT((ROW()-ROW($G$12))/3)+8),"")</f>
        <v>78</v>
      </c>
      <c r="K58" s="73">
        <f t="array" ref="K58">IF(MOD(ROW()-ROW($G$12),3)=1,INDEX(PSAJ!J:J,INT((ROW()-ROW($G$12))/3)+8),"")</f>
        <v>79</v>
      </c>
      <c r="L58" s="73">
        <f t="array" ref="L58">IF(MOD(ROW()-ROW($G$12),3)=1,INDEX(PSAJ!K:K,INT((ROW()-ROW($G$12))/3)+8),"")</f>
        <v>81</v>
      </c>
      <c r="M58" s="73">
        <f t="array" ref="M58">IF(MOD(ROW()-ROW($G$12),3)=1,INDEX(PSAJ!L:L,INT((ROW()-ROW($G$12))/3)+8),"")</f>
        <v>78</v>
      </c>
      <c r="N58" s="73">
        <f t="array" ref="N58">IF(MOD(ROW()-ROW($G$12),3)=1,INDEX(PSAJ!M:M,INT((ROW()-ROW($G$12))/3)+8),"")</f>
        <v>87</v>
      </c>
      <c r="O58" s="73">
        <f t="array" ref="O58">IF(MOD(ROW()-ROW($G$12),3)=1,INDEX(PSAJ!N:N,INT((ROW()-ROW($G$12))/3)+8),"")</f>
        <v>78</v>
      </c>
      <c r="P58" s="73">
        <f t="array" ref="P58">IF(MOD(ROW()-ROW($G$12),3)=1,INDEX(PSAJ!O:O,INT((ROW()-ROW($G$12))/3)+8),"")</f>
        <v>82</v>
      </c>
      <c r="Q58" s="73">
        <f t="array" ref="Q58">IF(MOD(ROW()-ROW($G$12),3)=1,INDEX(PSAJ!P:P,INT((ROW()-ROW($G$12))/3)+8),"")</f>
        <v>78</v>
      </c>
      <c r="R58" s="73">
        <f t="array" ref="R58">IF(MOD(ROW()-ROW($G$12),3)=1,INDEX(PSAJ!Q:Q,INT((ROW()-ROW($G$12))/3)+8),"")</f>
        <v>87</v>
      </c>
      <c r="S58" s="73">
        <f t="array" ref="S58">IF(MOD(ROW()-ROW($G$12),3)=1,INDEX(PSAJ!R:R,INT((ROW()-ROW($G$12))/3)+8),"")</f>
        <v>84</v>
      </c>
      <c r="T58" s="73">
        <f t="array" ref="T58">IF(MOD(ROW()-ROW($G$12),3)=1,INDEX(PSAJ!S:S,INT((ROW()-ROW($G$12))/3)+8),"")</f>
        <v>87</v>
      </c>
      <c r="U58" s="73">
        <v>0</v>
      </c>
      <c r="V58" s="73">
        <f t="array" ref="V58">IF(MOD(ROW()-ROW($G$12),3)=1,INDEX(PSAJ!T:T,INT((ROW()-ROW($G$12))/3)+8),"")</f>
        <v>87</v>
      </c>
      <c r="W58" s="73">
        <f t="shared" si="46"/>
        <v>1223</v>
      </c>
      <c r="X58" s="73">
        <f>IF(MOD(ROW()-ROW($X$12),3)&lt;&gt;2,ROUND(W58/15,2),"")</f>
        <v>81.53</v>
      </c>
      <c r="Y58" s="70"/>
      <c r="Z58" s="75"/>
      <c r="AA58" s="56"/>
      <c r="AB58" s="56"/>
      <c r="AC58" s="56"/>
      <c r="AD58" s="56"/>
      <c r="AE58" s="56"/>
    </row>
    <row r="59" spans="1:31" ht="14.5">
      <c r="A59" s="70"/>
      <c r="B59" s="70"/>
      <c r="C59" s="70"/>
      <c r="D59" s="71"/>
      <c r="E59" s="70"/>
      <c r="F59" s="76" t="s">
        <v>135</v>
      </c>
      <c r="G59" s="77">
        <f t="shared" ref="G59:T59" si="47">IF(MOD(ROW()-ROW($G$12),3)=2,((INDEX(G:G,ROW()-2)*$AC$4)+(INDEX(G:G,ROW()-1)*$AE$4))/$AD$5,"")</f>
        <v>82</v>
      </c>
      <c r="H59" s="77">
        <f t="shared" si="47"/>
        <v>85</v>
      </c>
      <c r="I59" s="77">
        <f t="shared" si="47"/>
        <v>80</v>
      </c>
      <c r="J59" s="77">
        <f t="shared" si="47"/>
        <v>82</v>
      </c>
      <c r="K59" s="77">
        <f t="shared" si="47"/>
        <v>83</v>
      </c>
      <c r="L59" s="77">
        <f t="shared" si="47"/>
        <v>80.5</v>
      </c>
      <c r="M59" s="77">
        <f t="shared" si="47"/>
        <v>81.5</v>
      </c>
      <c r="N59" s="77">
        <f t="shared" si="47"/>
        <v>83</v>
      </c>
      <c r="O59" s="77">
        <f t="shared" si="47"/>
        <v>39</v>
      </c>
      <c r="P59" s="77">
        <f t="shared" si="47"/>
        <v>84.333333333333314</v>
      </c>
      <c r="Q59" s="77">
        <f t="shared" si="47"/>
        <v>80</v>
      </c>
      <c r="R59" s="77">
        <f t="shared" si="47"/>
        <v>86.833333333333314</v>
      </c>
      <c r="S59" s="77" t="e">
        <f t="shared" si="47"/>
        <v>#DIV/0!</v>
      </c>
      <c r="T59" s="77" t="e">
        <f t="shared" si="47"/>
        <v>#DIV/0!</v>
      </c>
      <c r="U59" s="77">
        <f t="array" ref="U59">IF(MOD(ROW()-ROW($U$12),3)=2,N(INDEX(U:U,ROW()-2)),0)</f>
        <v>0</v>
      </c>
      <c r="V59" s="77" t="e">
        <f>IF(MOD(ROW()-ROW($G$12),3)=2,((INDEX(V:V,ROW()-2)*$AC$4)+(INDEX(V:V,ROW()-1)*$AE$4))/$AD$5,"")</f>
        <v>#DIV/0!</v>
      </c>
      <c r="W59" s="77" t="e">
        <f>IF(MOD(ROW()-ROW($G$12),3)=2,((INDEX(W:W,ROW()-2)*$AC$4)+(INDEX(W:W,ROW()-1)*$AE$4))/$AD$5,"")</f>
        <v>#DIV/0!</v>
      </c>
      <c r="X59" s="77" t="e">
        <f>IF(MOD(ROW()-ROW($G$12),3)=2,((INDEX(X:X,ROW()-2)*$AC$4)+(INDEX(X:X,ROW()-1)*$AE$4))/$AD$5,"")</f>
        <v>#DIV/0!</v>
      </c>
      <c r="Y59" s="78"/>
      <c r="Z59" s="77"/>
      <c r="AA59" s="56"/>
      <c r="AB59" s="56"/>
      <c r="AC59" s="56"/>
      <c r="AD59" s="56"/>
      <c r="AE59" s="56"/>
    </row>
    <row r="60" spans="1:31" ht="14.5">
      <c r="A60" s="70">
        <f t="shared" ref="A60:A61" si="48">IF(MOD(ROW()-12,3)=0,INT((ROW()-12)/3)+1,"")</f>
        <v>17</v>
      </c>
      <c r="B60" s="70">
        <f t="array" ref="B60">IF(MOD(ROW()-ROW($B$12),3)=0,INDEX(BIODATA!B:B,INT((ROW()-ROW($B$12))/3)+24),"")</f>
        <v>0</v>
      </c>
      <c r="C60" s="70">
        <f t="array" ref="C60">IF(MOD(ROW()-ROW($B$12),3)=0,INDEX(BIODATA!C:C,INT((ROW()-ROW($B$12))/3)+24),"")</f>
        <v>0</v>
      </c>
      <c r="D60" s="71" t="str">
        <f t="array" ref="D60">IF(MOD(ROW()-ROW($B$12),3)=0,INDEX(BIODATA!D:D,INT((ROW()-ROW($B$12))/3)+24),"")</f>
        <v>MUHAMAD IQBAL LUCKY SAPUTRA</v>
      </c>
      <c r="E60" s="70" t="str">
        <f t="array" ref="E60">IF(MOD(ROW()-ROW($B$12),3)=0,INDEX(BIODATA!H:H,INT((ROW()-ROW($B$12))/3)+24),"")</f>
        <v>L</v>
      </c>
      <c r="F60" s="72" t="s">
        <v>134</v>
      </c>
      <c r="G60" s="73">
        <f t="array" ref="G60">IF(MOD(ROW()-ROW($G$12),3)=0,INDEX(RR!L:L,INT((ROW()-ROW($G$12))/3)+9),"")</f>
        <v>87</v>
      </c>
      <c r="H60" s="73">
        <f t="array" ref="H60">IF(MOD(ROW()-ROW($H$12),3)=0,INDEX(RR!R:R,INT((ROW()-ROW($H$12))/3)+9),"")</f>
        <v>90</v>
      </c>
      <c r="I60" s="73">
        <f t="array" ref="I60">IF(MOD(ROW()-ROW($I$12),3)=0,INDEX(RR!X:X,INT((ROW()-ROW($I$12))/3)+9),"")</f>
        <v>81</v>
      </c>
      <c r="J60" s="73">
        <f t="array" ref="J60">IF(MOD(ROW()-ROW($I$12),3)=0,INDEX(RR!AC:AC,INT((ROW()-ROW($I$12))/3)+9),"")</f>
        <v>87</v>
      </c>
      <c r="K60" s="73">
        <f t="array" ref="K60">IF(MOD(ROW()-ROW($I$12),3)=0,INDEX(RR!AH:AH,INT((ROW()-ROW($I$12))/3)+9),"")</f>
        <v>89</v>
      </c>
      <c r="L60" s="73">
        <f t="array" ref="L60">IF(MOD(ROW()-ROW($I$12),3)=0,INDEX(RR!AK:AK,INT((ROW()-ROW($I$12))/3)+9),"")</f>
        <v>82</v>
      </c>
      <c r="M60" s="73">
        <f t="array" ref="M60">IF(MOD(ROW()-ROW($I$12),3)=0,INDEX(RR!AQ:AQ,INT((ROW()-ROW($I$12))/3)+9),"")</f>
        <v>87</v>
      </c>
      <c r="N60" s="73">
        <f t="array" ref="N60">IF(MOD(ROW()-ROW($I$12),3)=0,INDEX(RR!AW:AW,INT((ROW()-ROW($I$12))/3)+9),"")</f>
        <v>80</v>
      </c>
      <c r="O60" s="73">
        <f t="array" ref="O60">IF(MOD(ROW()-ROW($I$12),3)=0,INDEX(RR!BB:BB,INT((ROW()-ROW($I$12))/3)+9),"")</f>
        <v>0</v>
      </c>
      <c r="P60" s="73">
        <f t="array" ref="P60">IF(MOD(ROW()-ROW($I$12),3)=0,INDEX(RR!BF:BF,INT((ROW()-ROW($I$12))/3)+9),"")</f>
        <v>93.333333333333329</v>
      </c>
      <c r="Q60" s="73">
        <f t="array" ref="Q60">IF(MOD(ROW()-ROW($I$12),3)=0,INDEX(RR!BI:BI,INT((ROW()-ROW($I$12))/3)+9),"")</f>
        <v>81</v>
      </c>
      <c r="R60" s="73">
        <f t="array" ref="R60">IF(MOD(ROW()-ROW($I$12),3)=0,INDEX(RR!BL:BL,INT((ROW()-ROW($I$12))/3)+9),"")</f>
        <v>93.333333333333329</v>
      </c>
      <c r="S60" s="73" t="e">
        <f t="array" ref="S60">IF(MOD(ROW()-ROW($I$12),3)=0,INDEX(RR!BP:BP,INT((ROW()-ROW($I$12))/3)+9),"")</f>
        <v>#DIV/0!</v>
      </c>
      <c r="T60" s="73" t="e">
        <f t="array" ref="T60">IF(MOD(ROW()-ROW($I$12),3)=0,INDEX(RR!BT:BT,INT((ROW()-ROW($I$12))/3)+9),"")</f>
        <v>#DIV/0!</v>
      </c>
      <c r="U60" s="73">
        <f t="array" ref="U60">IF(MOD(ROW()-ROW($I$12),3)=0,INDEX(RR!BV:BV,INT((ROW()-ROW($I$12))/3)+9),"")</f>
        <v>0</v>
      </c>
      <c r="V60" s="73" t="e">
        <f t="array" ref="V60">IF(MOD(ROW()-ROW($I$12),3)=0,INDEX(RR!BZ:BZ,INT((ROW()-ROW($I$12))/3)+9),"")</f>
        <v>#DIV/0!</v>
      </c>
      <c r="W60" s="73" t="e">
        <f t="shared" ref="W60:W61" si="49">IF(MOD(ROW()-ROW($W$12),3)&lt;&gt;2,SUM(G60:V60),"")</f>
        <v>#DIV/0!</v>
      </c>
      <c r="X60" s="73" t="e">
        <f>IF(MOD(ROW()-ROW($X$12),3)&lt;&gt;2,ROUND(W60/16,2),"")</f>
        <v>#DIV/0!</v>
      </c>
      <c r="Y60" s="70"/>
      <c r="Z60" s="74" t="e">
        <f t="array" ref="Z60">IF(MOD(ROW()-ROW($Z$12),3)=0,IF(INDEX(X:X,ROW()+2)&gt;=$AC$9,"L","TL"),"")</f>
        <v>#DIV/0!</v>
      </c>
      <c r="AA60" s="56"/>
      <c r="AB60" s="56"/>
      <c r="AC60" s="56"/>
      <c r="AD60" s="56"/>
      <c r="AE60" s="56"/>
    </row>
    <row r="61" spans="1:31" ht="14.5">
      <c r="A61" s="70" t="str">
        <f t="shared" si="48"/>
        <v/>
      </c>
      <c r="B61" s="70" t="str">
        <f t="array" ref="B61">IF(MOD(ROW()-ROW($B$12),3)=0,INDEX(BIODATA!B:B,INT((ROW()-ROW($B$12))/3)+24),"")</f>
        <v/>
      </c>
      <c r="C61" s="70"/>
      <c r="D61" s="71"/>
      <c r="E61" s="70"/>
      <c r="F61" s="72" t="s">
        <v>105</v>
      </c>
      <c r="G61" s="73">
        <f t="array" ref="G61">IF(MOD(ROW()-ROW($G$12),3)=1,INDEX(PSAJ!F:F,INT((ROW()-ROW($G$12))/3)+8),"")</f>
        <v>80</v>
      </c>
      <c r="H61" s="73">
        <f t="array" ref="H61">IF(MOD(ROW()-ROW($G$12),3)=1,INDEX(PSAJ!G:G,INT((ROW()-ROW($G$12))/3)+8),"")</f>
        <v>80</v>
      </c>
      <c r="I61" s="73">
        <f t="array" ref="I61">IF(MOD(ROW()-ROW($G$12),3)=1,INDEX(PSAJ!H:H,INT((ROW()-ROW($G$12))/3)+8),"")</f>
        <v>81</v>
      </c>
      <c r="J61" s="73">
        <f t="array" ref="J61">IF(MOD(ROW()-ROW($G$12),3)=1,INDEX(PSAJ!I:I,INT((ROW()-ROW($G$12))/3)+8),"")</f>
        <v>80</v>
      </c>
      <c r="K61" s="73">
        <f t="array" ref="K61">IF(MOD(ROW()-ROW($G$12),3)=1,INDEX(PSAJ!J:J,INT((ROW()-ROW($G$12))/3)+8),"")</f>
        <v>80</v>
      </c>
      <c r="L61" s="73">
        <f t="array" ref="L61">IF(MOD(ROW()-ROW($G$12),3)=1,INDEX(PSAJ!K:K,INT((ROW()-ROW($G$12))/3)+8),"")</f>
        <v>80</v>
      </c>
      <c r="M61" s="73">
        <f t="array" ref="M61">IF(MOD(ROW()-ROW($G$12),3)=1,INDEX(PSAJ!L:L,INT((ROW()-ROW($G$12))/3)+8),"")</f>
        <v>80</v>
      </c>
      <c r="N61" s="73">
        <f t="array" ref="N61">IF(MOD(ROW()-ROW($G$12),3)=1,INDEX(PSAJ!M:M,INT((ROW()-ROW($G$12))/3)+8),"")</f>
        <v>80</v>
      </c>
      <c r="O61" s="73">
        <f t="array" ref="O61">IF(MOD(ROW()-ROW($G$12),3)=1,INDEX(PSAJ!N:N,INT((ROW()-ROW($G$12))/3)+8),"")</f>
        <v>80</v>
      </c>
      <c r="P61" s="73">
        <f t="array" ref="P61">IF(MOD(ROW()-ROW($G$12),3)=1,INDEX(PSAJ!O:O,INT((ROW()-ROW($G$12))/3)+8),"")</f>
        <v>80</v>
      </c>
      <c r="Q61" s="73">
        <f t="array" ref="Q61">IF(MOD(ROW()-ROW($G$12),3)=1,INDEX(PSAJ!P:P,INT((ROW()-ROW($G$12))/3)+8),"")</f>
        <v>79</v>
      </c>
      <c r="R61" s="73">
        <f t="array" ref="R61">IF(MOD(ROW()-ROW($G$12),3)=1,INDEX(PSAJ!Q:Q,INT((ROW()-ROW($G$12))/3)+8),"")</f>
        <v>81</v>
      </c>
      <c r="S61" s="73">
        <f t="array" ref="S61">IF(MOD(ROW()-ROW($G$12),3)=1,INDEX(PSAJ!R:R,INT((ROW()-ROW($G$12))/3)+8),"")</f>
        <v>85</v>
      </c>
      <c r="T61" s="73">
        <f t="array" ref="T61">IF(MOD(ROW()-ROW($G$12),3)=1,INDEX(PSAJ!S:S,INT((ROW()-ROW($G$12))/3)+8),"")</f>
        <v>80</v>
      </c>
      <c r="U61" s="73">
        <v>0</v>
      </c>
      <c r="V61" s="73">
        <f t="array" ref="V61">IF(MOD(ROW()-ROW($G$12),3)=1,INDEX(PSAJ!T:T,INT((ROW()-ROW($G$12))/3)+8),"")</f>
        <v>80</v>
      </c>
      <c r="W61" s="73">
        <f t="shared" si="49"/>
        <v>1206</v>
      </c>
      <c r="X61" s="73">
        <f>IF(MOD(ROW()-ROW($X$12),3)&lt;&gt;2,ROUND(W61/15,2),"")</f>
        <v>80.400000000000006</v>
      </c>
      <c r="Y61" s="70"/>
      <c r="Z61" s="75"/>
      <c r="AA61" s="56"/>
      <c r="AB61" s="56"/>
      <c r="AC61" s="56"/>
      <c r="AD61" s="56"/>
      <c r="AE61" s="56"/>
    </row>
    <row r="62" spans="1:31" ht="14.5">
      <c r="A62" s="70"/>
      <c r="B62" s="70"/>
      <c r="C62" s="70"/>
      <c r="D62" s="71"/>
      <c r="E62" s="70"/>
      <c r="F62" s="76" t="s">
        <v>135</v>
      </c>
      <c r="G62" s="77">
        <f t="shared" ref="G62:T62" si="50">IF(MOD(ROW()-ROW($G$12),3)=2,((INDEX(G:G,ROW()-2)*$AC$4)+(INDEX(G:G,ROW()-1)*$AE$4))/$AD$5,"")</f>
        <v>83.5</v>
      </c>
      <c r="H62" s="77">
        <f t="shared" si="50"/>
        <v>85</v>
      </c>
      <c r="I62" s="77">
        <f t="shared" si="50"/>
        <v>81</v>
      </c>
      <c r="J62" s="77">
        <f t="shared" si="50"/>
        <v>83.5</v>
      </c>
      <c r="K62" s="77">
        <f t="shared" si="50"/>
        <v>84.5</v>
      </c>
      <c r="L62" s="77">
        <f t="shared" si="50"/>
        <v>81</v>
      </c>
      <c r="M62" s="77">
        <f t="shared" si="50"/>
        <v>83.5</v>
      </c>
      <c r="N62" s="77">
        <f t="shared" si="50"/>
        <v>80</v>
      </c>
      <c r="O62" s="77">
        <f t="shared" si="50"/>
        <v>40</v>
      </c>
      <c r="P62" s="77">
        <f t="shared" si="50"/>
        <v>86.666666666666657</v>
      </c>
      <c r="Q62" s="77">
        <f t="shared" si="50"/>
        <v>80</v>
      </c>
      <c r="R62" s="77">
        <f t="shared" si="50"/>
        <v>87.166666666666657</v>
      </c>
      <c r="S62" s="77" t="e">
        <f t="shared" si="50"/>
        <v>#DIV/0!</v>
      </c>
      <c r="T62" s="77" t="e">
        <f t="shared" si="50"/>
        <v>#DIV/0!</v>
      </c>
      <c r="U62" s="77">
        <f t="array" ref="U62">IF(MOD(ROW()-ROW($U$12),3)=2,N(INDEX(U:U,ROW()-2)),0)</f>
        <v>0</v>
      </c>
      <c r="V62" s="77" t="e">
        <f>IF(MOD(ROW()-ROW($G$12),3)=2,((INDEX(V:V,ROW()-2)*$AC$4)+(INDEX(V:V,ROW()-1)*$AE$4))/$AD$5,"")</f>
        <v>#DIV/0!</v>
      </c>
      <c r="W62" s="77" t="e">
        <f>IF(MOD(ROW()-ROW($G$12),3)=2,((INDEX(W:W,ROW()-2)*$AC$4)+(INDEX(W:W,ROW()-1)*$AE$4))/$AD$5,"")</f>
        <v>#DIV/0!</v>
      </c>
      <c r="X62" s="77" t="e">
        <f>IF(MOD(ROW()-ROW($G$12),3)=2,((INDEX(X:X,ROW()-2)*$AC$4)+(INDEX(X:X,ROW()-1)*$AE$4))/$AD$5,"")</f>
        <v>#DIV/0!</v>
      </c>
      <c r="Y62" s="78"/>
      <c r="Z62" s="77"/>
      <c r="AA62" s="56"/>
      <c r="AB62" s="56"/>
      <c r="AC62" s="56"/>
      <c r="AD62" s="56"/>
      <c r="AE62" s="56"/>
    </row>
    <row r="63" spans="1:31" ht="14.5">
      <c r="A63" s="70">
        <f t="shared" ref="A63:A64" si="51">IF(MOD(ROW()-12,3)=0,INT((ROW()-12)/3)+1,"")</f>
        <v>18</v>
      </c>
      <c r="B63" s="70">
        <f t="array" ref="B63">IF(MOD(ROW()-ROW($B$12),3)=0,INDEX(BIODATA!B:B,INT((ROW()-ROW($B$12))/3)+24),"")</f>
        <v>0</v>
      </c>
      <c r="C63" s="70">
        <f t="array" ref="C63">IF(MOD(ROW()-ROW($B$12),3)=0,INDEX(BIODATA!C:C,INT((ROW()-ROW($B$12))/3)+24),"")</f>
        <v>0</v>
      </c>
      <c r="D63" s="71" t="str">
        <f t="array" ref="D63">IF(MOD(ROW()-ROW($B$12),3)=0,INDEX(BIODATA!D:D,INT((ROW()-ROW($B$12))/3)+24),"")</f>
        <v>MUHAMMAD ARDIAN CAHYA PRADANA</v>
      </c>
      <c r="E63" s="70" t="str">
        <f t="array" ref="E63">IF(MOD(ROW()-ROW($B$12),3)=0,INDEX(BIODATA!H:H,INT((ROW()-ROW($B$12))/3)+24),"")</f>
        <v>L</v>
      </c>
      <c r="F63" s="72" t="s">
        <v>134</v>
      </c>
      <c r="G63" s="73">
        <f t="array" ref="G63">IF(MOD(ROW()-ROW($G$12),3)=0,INDEX(RR!L:L,INT((ROW()-ROW($G$12))/3)+9),"")</f>
        <v>88</v>
      </c>
      <c r="H63" s="73">
        <f t="array" ref="H63">IF(MOD(ROW()-ROW($H$12),3)=0,INDEX(RR!R:R,INT((ROW()-ROW($H$12))/3)+9),"")</f>
        <v>90</v>
      </c>
      <c r="I63" s="73">
        <f t="array" ref="I63">IF(MOD(ROW()-ROW($I$12),3)=0,INDEX(RR!X:X,INT((ROW()-ROW($I$12))/3)+9),"")</f>
        <v>80</v>
      </c>
      <c r="J63" s="73">
        <f t="array" ref="J63">IF(MOD(ROW()-ROW($I$12),3)=0,INDEX(RR!AC:AC,INT((ROW()-ROW($I$12))/3)+9),"")</f>
        <v>89</v>
      </c>
      <c r="K63" s="73">
        <f t="array" ref="K63">IF(MOD(ROW()-ROW($I$12),3)=0,INDEX(RR!AH:AH,INT((ROW()-ROW($I$12))/3)+9),"")</f>
        <v>90</v>
      </c>
      <c r="L63" s="73">
        <f t="array" ref="L63">IF(MOD(ROW()-ROW($I$12),3)=0,INDEX(RR!AK:AK,INT((ROW()-ROW($I$12))/3)+9),"")</f>
        <v>85</v>
      </c>
      <c r="M63" s="73">
        <f t="array" ref="M63">IF(MOD(ROW()-ROW($I$12),3)=0,INDEX(RR!AQ:AQ,INT((ROW()-ROW($I$12))/3)+9),"")</f>
        <v>88</v>
      </c>
      <c r="N63" s="73">
        <f t="array" ref="N63">IF(MOD(ROW()-ROW($I$12),3)=0,INDEX(RR!AW:AW,INT((ROW()-ROW($I$12))/3)+9),"")</f>
        <v>79</v>
      </c>
      <c r="O63" s="73">
        <f t="array" ref="O63">IF(MOD(ROW()-ROW($I$12),3)=0,INDEX(RR!BB:BB,INT((ROW()-ROW($I$12))/3)+9),"")</f>
        <v>0</v>
      </c>
      <c r="P63" s="73">
        <f t="array" ref="P63">IF(MOD(ROW()-ROW($I$12),3)=0,INDEX(RR!BF:BF,INT((ROW()-ROW($I$12))/3)+9),"")</f>
        <v>86.666666666666657</v>
      </c>
      <c r="Q63" s="73">
        <f t="array" ref="Q63">IF(MOD(ROW()-ROW($I$12),3)=0,INDEX(RR!BI:BI,INT((ROW()-ROW($I$12))/3)+9),"")</f>
        <v>82</v>
      </c>
      <c r="R63" s="73">
        <f t="array" ref="R63">IF(MOD(ROW()-ROW($I$12),3)=0,INDEX(RR!BL:BL,INT((ROW()-ROW($I$12))/3)+9),"")</f>
        <v>86.666666666666657</v>
      </c>
      <c r="S63" s="73" t="e">
        <f t="array" ref="S63">IF(MOD(ROW()-ROW($I$12),3)=0,INDEX(RR!BP:BP,INT((ROW()-ROW($I$12))/3)+9),"")</f>
        <v>#DIV/0!</v>
      </c>
      <c r="T63" s="73" t="e">
        <f t="array" ref="T63">IF(MOD(ROW()-ROW($I$12),3)=0,INDEX(RR!BT:BT,INT((ROW()-ROW($I$12))/3)+9),"")</f>
        <v>#DIV/0!</v>
      </c>
      <c r="U63" s="73">
        <f t="array" ref="U63">IF(MOD(ROW()-ROW($I$12),3)=0,INDEX(RR!BV:BV,INT((ROW()-ROW($I$12))/3)+9),"")</f>
        <v>0</v>
      </c>
      <c r="V63" s="73" t="e">
        <f t="array" ref="V63">IF(MOD(ROW()-ROW($I$12),3)=0,INDEX(RR!BZ:BZ,INT((ROW()-ROW($I$12))/3)+9),"")</f>
        <v>#DIV/0!</v>
      </c>
      <c r="W63" s="73" t="e">
        <f t="shared" ref="W63:W64" si="52">IF(MOD(ROW()-ROW($W$12),3)&lt;&gt;2,SUM(G63:V63),"")</f>
        <v>#DIV/0!</v>
      </c>
      <c r="X63" s="73" t="e">
        <f>IF(MOD(ROW()-ROW($X$12),3)&lt;&gt;2,ROUND(W63/16,2),"")</f>
        <v>#DIV/0!</v>
      </c>
      <c r="Y63" s="70"/>
      <c r="Z63" s="74" t="e">
        <f t="array" ref="Z63">IF(MOD(ROW()-ROW($Z$12),3)=0,IF(INDEX(X:X,ROW()+2)&gt;=$AC$9,"L","TL"),"")</f>
        <v>#DIV/0!</v>
      </c>
      <c r="AA63" s="56"/>
      <c r="AB63" s="56"/>
      <c r="AC63" s="56"/>
      <c r="AD63" s="56"/>
      <c r="AE63" s="56"/>
    </row>
    <row r="64" spans="1:31" ht="14.5">
      <c r="A64" s="70" t="str">
        <f t="shared" si="51"/>
        <v/>
      </c>
      <c r="B64" s="70" t="str">
        <f t="array" ref="B64">IF(MOD(ROW()-ROW($B$12),3)=0,INDEX(BIODATA!B:B,INT((ROW()-ROW($B$12))/3)+24),"")</f>
        <v/>
      </c>
      <c r="C64" s="70"/>
      <c r="D64" s="71"/>
      <c r="E64" s="70"/>
      <c r="F64" s="72" t="s">
        <v>105</v>
      </c>
      <c r="G64" s="73">
        <f t="array" ref="G64">IF(MOD(ROW()-ROW($G$12),3)=1,INDEX(PSAJ!F:F,INT((ROW()-ROW($G$12))/3)+8),"")</f>
        <v>85</v>
      </c>
      <c r="H64" s="73">
        <f t="array" ref="H64">IF(MOD(ROW()-ROW($G$12),3)=1,INDEX(PSAJ!G:G,INT((ROW()-ROW($G$12))/3)+8),"")</f>
        <v>80</v>
      </c>
      <c r="I64" s="73">
        <f t="array" ref="I64">IF(MOD(ROW()-ROW($G$12),3)=1,INDEX(PSAJ!H:H,INT((ROW()-ROW($G$12))/3)+8),"")</f>
        <v>78</v>
      </c>
      <c r="J64" s="73">
        <f t="array" ref="J64">IF(MOD(ROW()-ROW($G$12),3)=1,INDEX(PSAJ!I:I,INT((ROW()-ROW($G$12))/3)+8),"")</f>
        <v>78</v>
      </c>
      <c r="K64" s="73">
        <f t="array" ref="K64">IF(MOD(ROW()-ROW($G$12),3)=1,INDEX(PSAJ!J:J,INT((ROW()-ROW($G$12))/3)+8),"")</f>
        <v>82</v>
      </c>
      <c r="L64" s="73">
        <f t="array" ref="L64">IF(MOD(ROW()-ROW($G$12),3)=1,INDEX(PSAJ!K:K,INT((ROW()-ROW($G$12))/3)+8),"")</f>
        <v>82</v>
      </c>
      <c r="M64" s="73">
        <f t="array" ref="M64">IF(MOD(ROW()-ROW($G$12),3)=1,INDEX(PSAJ!L:L,INT((ROW()-ROW($G$12))/3)+8),"")</f>
        <v>78</v>
      </c>
      <c r="N64" s="73">
        <f t="array" ref="N64">IF(MOD(ROW()-ROW($G$12),3)=1,INDEX(PSAJ!M:M,INT((ROW()-ROW($G$12))/3)+8),"")</f>
        <v>88</v>
      </c>
      <c r="O64" s="73">
        <f t="array" ref="O64">IF(MOD(ROW()-ROW($G$12),3)=1,INDEX(PSAJ!N:N,INT((ROW()-ROW($G$12))/3)+8),"")</f>
        <v>78</v>
      </c>
      <c r="P64" s="73">
        <f t="array" ref="P64">IF(MOD(ROW()-ROW($G$12),3)=1,INDEX(PSAJ!O:O,INT((ROW()-ROW($G$12))/3)+8),"")</f>
        <v>83</v>
      </c>
      <c r="Q64" s="73">
        <f t="array" ref="Q64">IF(MOD(ROW()-ROW($G$12),3)=1,INDEX(PSAJ!P:P,INT((ROW()-ROW($G$12))/3)+8),"")</f>
        <v>81</v>
      </c>
      <c r="R64" s="73">
        <f t="array" ref="R64">IF(MOD(ROW()-ROW($G$12),3)=1,INDEX(PSAJ!Q:Q,INT((ROW()-ROW($G$12))/3)+8),"")</f>
        <v>88</v>
      </c>
      <c r="S64" s="73">
        <f t="array" ref="S64">IF(MOD(ROW()-ROW($G$12),3)=1,INDEX(PSAJ!R:R,INT((ROW()-ROW($G$12))/3)+8),"")</f>
        <v>85</v>
      </c>
      <c r="T64" s="73">
        <f t="array" ref="T64">IF(MOD(ROW()-ROW($G$12),3)=1,INDEX(PSAJ!S:S,INT((ROW()-ROW($G$12))/3)+8),"")</f>
        <v>88</v>
      </c>
      <c r="U64" s="73">
        <v>0</v>
      </c>
      <c r="V64" s="73">
        <f t="array" ref="V64">IF(MOD(ROW()-ROW($G$12),3)=1,INDEX(PSAJ!T:T,INT((ROW()-ROW($G$12))/3)+8),"")</f>
        <v>88</v>
      </c>
      <c r="W64" s="73">
        <f t="shared" si="52"/>
        <v>1242</v>
      </c>
      <c r="X64" s="73">
        <f>IF(MOD(ROW()-ROW($X$12),3)&lt;&gt;2,ROUND(W64/15,2),"")</f>
        <v>82.8</v>
      </c>
      <c r="Y64" s="70"/>
      <c r="Z64" s="75"/>
      <c r="AA64" s="56"/>
      <c r="AB64" s="56"/>
      <c r="AC64" s="56"/>
      <c r="AD64" s="56"/>
      <c r="AE64" s="56"/>
    </row>
    <row r="65" spans="1:31" ht="14.5">
      <c r="A65" s="70"/>
      <c r="B65" s="70"/>
      <c r="C65" s="70"/>
      <c r="D65" s="71"/>
      <c r="E65" s="70"/>
      <c r="F65" s="76" t="s">
        <v>135</v>
      </c>
      <c r="G65" s="77">
        <f t="shared" ref="G65:T65" si="53">IF(MOD(ROW()-ROW($G$12),3)=2,((INDEX(G:G,ROW()-2)*$AC$4)+(INDEX(G:G,ROW()-1)*$AE$4))/$AD$5,"")</f>
        <v>86.5</v>
      </c>
      <c r="H65" s="77">
        <f t="shared" si="53"/>
        <v>85</v>
      </c>
      <c r="I65" s="77">
        <f t="shared" si="53"/>
        <v>79</v>
      </c>
      <c r="J65" s="77">
        <f t="shared" si="53"/>
        <v>83.5</v>
      </c>
      <c r="K65" s="77">
        <f t="shared" si="53"/>
        <v>86</v>
      </c>
      <c r="L65" s="77">
        <f t="shared" si="53"/>
        <v>83.5</v>
      </c>
      <c r="M65" s="77">
        <f t="shared" si="53"/>
        <v>83</v>
      </c>
      <c r="N65" s="77">
        <f t="shared" si="53"/>
        <v>83.5</v>
      </c>
      <c r="O65" s="77">
        <f t="shared" si="53"/>
        <v>39</v>
      </c>
      <c r="P65" s="77">
        <f t="shared" si="53"/>
        <v>84.833333333333314</v>
      </c>
      <c r="Q65" s="77">
        <f t="shared" si="53"/>
        <v>81.5</v>
      </c>
      <c r="R65" s="77">
        <f t="shared" si="53"/>
        <v>87.333333333333314</v>
      </c>
      <c r="S65" s="77" t="e">
        <f t="shared" si="53"/>
        <v>#DIV/0!</v>
      </c>
      <c r="T65" s="77" t="e">
        <f t="shared" si="53"/>
        <v>#DIV/0!</v>
      </c>
      <c r="U65" s="77">
        <f t="array" ref="U65">IF(MOD(ROW()-ROW($U$12),3)=2,N(INDEX(U:U,ROW()-2)),0)</f>
        <v>0</v>
      </c>
      <c r="V65" s="77" t="e">
        <f>IF(MOD(ROW()-ROW($G$12),3)=2,((INDEX(V:V,ROW()-2)*$AC$4)+(INDEX(V:V,ROW()-1)*$AE$4))/$AD$5,"")</f>
        <v>#DIV/0!</v>
      </c>
      <c r="W65" s="77" t="e">
        <f>IF(MOD(ROW()-ROW($G$12),3)=2,((INDEX(W:W,ROW()-2)*$AC$4)+(INDEX(W:W,ROW()-1)*$AE$4))/$AD$5,"")</f>
        <v>#DIV/0!</v>
      </c>
      <c r="X65" s="77" t="e">
        <f>IF(MOD(ROW()-ROW($G$12),3)=2,((INDEX(X:X,ROW()-2)*$AC$4)+(INDEX(X:X,ROW()-1)*$AE$4))/$AD$5,"")</f>
        <v>#DIV/0!</v>
      </c>
      <c r="Y65" s="78"/>
      <c r="Z65" s="77"/>
      <c r="AA65" s="56"/>
      <c r="AB65" s="56"/>
      <c r="AC65" s="56"/>
      <c r="AD65" s="56"/>
      <c r="AE65" s="56"/>
    </row>
    <row r="66" spans="1:31" ht="14.5">
      <c r="A66" s="70">
        <f t="shared" ref="A66:A67" si="54">IF(MOD(ROW()-12,3)=0,INT((ROW()-12)/3)+1,"")</f>
        <v>19</v>
      </c>
      <c r="B66" s="70">
        <f t="array" ref="B66">IF(MOD(ROW()-ROW($B$12),3)=0,INDEX(BIODATA!B:B,INT((ROW()-ROW($B$12))/3)+24),"")</f>
        <v>0</v>
      </c>
      <c r="C66" s="70">
        <f t="array" ref="C66">IF(MOD(ROW()-ROW($B$12),3)=0,INDEX(BIODATA!C:C,INT((ROW()-ROW($B$12))/3)+24),"")</f>
        <v>0</v>
      </c>
      <c r="D66" s="71" t="str">
        <f t="array" ref="D66">IF(MOD(ROW()-ROW($B$12),3)=0,INDEX(BIODATA!D:D,INT((ROW()-ROW($B$12))/3)+24),"")</f>
        <v>MUHAMMAD MA'RUF ADI NUGRAHA</v>
      </c>
      <c r="E66" s="70" t="str">
        <f t="array" ref="E66">IF(MOD(ROW()-ROW($B$12),3)=0,INDEX(BIODATA!H:H,INT((ROW()-ROW($B$12))/3)+24),"")</f>
        <v>L</v>
      </c>
      <c r="F66" s="72" t="s">
        <v>134</v>
      </c>
      <c r="G66" s="73">
        <f t="array" ref="G66">IF(MOD(ROW()-ROW($G$12),3)=0,INDEX(RR!L:L,INT((ROW()-ROW($G$12))/3)+9),"")</f>
        <v>82</v>
      </c>
      <c r="H66" s="73">
        <f t="array" ref="H66">IF(MOD(ROW()-ROW($H$12),3)=0,INDEX(RR!R:R,INT((ROW()-ROW($H$12))/3)+9),"")</f>
        <v>78</v>
      </c>
      <c r="I66" s="73">
        <f t="array" ref="I66">IF(MOD(ROW()-ROW($I$12),3)=0,INDEX(RR!X:X,INT((ROW()-ROW($I$12))/3)+9),"")</f>
        <v>80</v>
      </c>
      <c r="J66" s="73">
        <f t="array" ref="J66">IF(MOD(ROW()-ROW($I$12),3)=0,INDEX(RR!AC:AC,INT((ROW()-ROW($I$12))/3)+9),"")</f>
        <v>85</v>
      </c>
      <c r="K66" s="73">
        <f t="array" ref="K66">IF(MOD(ROW()-ROW($I$12),3)=0,INDEX(RR!AH:AH,INT((ROW()-ROW($I$12))/3)+9),"")</f>
        <v>84</v>
      </c>
      <c r="L66" s="73">
        <f t="array" ref="L66">IF(MOD(ROW()-ROW($I$12),3)=0,INDEX(RR!AK:AK,INT((ROW()-ROW($I$12))/3)+9),"")</f>
        <v>85</v>
      </c>
      <c r="M66" s="73">
        <f t="array" ref="M66">IF(MOD(ROW()-ROW($I$12),3)=0,INDEX(RR!AQ:AQ,INT((ROW()-ROW($I$12))/3)+9),"")</f>
        <v>82</v>
      </c>
      <c r="N66" s="73">
        <f t="array" ref="N66">IF(MOD(ROW()-ROW($I$12),3)=0,INDEX(RR!AW:AW,INT((ROW()-ROW($I$12))/3)+9),"")</f>
        <v>80</v>
      </c>
      <c r="O66" s="73">
        <f t="array" ref="O66">IF(MOD(ROW()-ROW($I$12),3)=0,INDEX(RR!BB:BB,INT((ROW()-ROW($I$12))/3)+9),"")</f>
        <v>0</v>
      </c>
      <c r="P66" s="73">
        <f t="array" ref="P66">IF(MOD(ROW()-ROW($I$12),3)=0,INDEX(RR!BF:BF,INT((ROW()-ROW($I$12))/3)+9),"")</f>
        <v>78</v>
      </c>
      <c r="Q66" s="73">
        <f t="array" ref="Q66">IF(MOD(ROW()-ROW($I$12),3)=0,INDEX(RR!BI:BI,INT((ROW()-ROW($I$12))/3)+9),"")</f>
        <v>82</v>
      </c>
      <c r="R66" s="73">
        <f t="array" ref="R66">IF(MOD(ROW()-ROW($I$12),3)=0,INDEX(RR!BL:BL,INT((ROW()-ROW($I$12))/3)+9),"")</f>
        <v>78</v>
      </c>
      <c r="S66" s="73" t="e">
        <f t="array" ref="S66">IF(MOD(ROW()-ROW($I$12),3)=0,INDEX(RR!BP:BP,INT((ROW()-ROW($I$12))/3)+9),"")</f>
        <v>#DIV/0!</v>
      </c>
      <c r="T66" s="73" t="e">
        <f t="array" ref="T66">IF(MOD(ROW()-ROW($I$12),3)=0,INDEX(RR!BT:BT,INT((ROW()-ROW($I$12))/3)+9),"")</f>
        <v>#DIV/0!</v>
      </c>
      <c r="U66" s="73">
        <f t="array" ref="U66">IF(MOD(ROW()-ROW($I$12),3)=0,INDEX(RR!BV:BV,INT((ROW()-ROW($I$12))/3)+9),"")</f>
        <v>0</v>
      </c>
      <c r="V66" s="73" t="e">
        <f t="array" ref="V66">IF(MOD(ROW()-ROW($I$12),3)=0,INDEX(RR!BZ:BZ,INT((ROW()-ROW($I$12))/3)+9),"")</f>
        <v>#DIV/0!</v>
      </c>
      <c r="W66" s="73" t="e">
        <f t="shared" ref="W66:W67" si="55">IF(MOD(ROW()-ROW($W$12),3)&lt;&gt;2,SUM(G66:V66),"")</f>
        <v>#DIV/0!</v>
      </c>
      <c r="X66" s="73" t="e">
        <f>IF(MOD(ROW()-ROW($X$12),3)&lt;&gt;2,ROUND(W66/16,2),"")</f>
        <v>#DIV/0!</v>
      </c>
      <c r="Y66" s="70"/>
      <c r="Z66" s="74" t="e">
        <f t="array" ref="Z66">IF(MOD(ROW()-ROW($Z$12),3)=0,IF(INDEX(X:X,ROW()+2)&gt;=$AC$9,"L","TL"),"")</f>
        <v>#DIV/0!</v>
      </c>
      <c r="AA66" s="56"/>
      <c r="AB66" s="56"/>
      <c r="AC66" s="56"/>
      <c r="AD66" s="56"/>
      <c r="AE66" s="56"/>
    </row>
    <row r="67" spans="1:31" ht="14.5">
      <c r="A67" s="70" t="str">
        <f t="shared" si="54"/>
        <v/>
      </c>
      <c r="B67" s="70" t="str">
        <f t="array" ref="B67">IF(MOD(ROW()-ROW($B$12),3)=0,INDEX(BIODATA!B:B,INT((ROW()-ROW($B$12))/3)+24),"")</f>
        <v/>
      </c>
      <c r="C67" s="70"/>
      <c r="D67" s="71"/>
      <c r="E67" s="70"/>
      <c r="F67" s="72" t="s">
        <v>105</v>
      </c>
      <c r="G67" s="73">
        <f t="array" ref="G67">IF(MOD(ROW()-ROW($G$12),3)=1,INDEX(PSAJ!F:F,INT((ROW()-ROW($G$12))/3)+8),"")</f>
        <v>78</v>
      </c>
      <c r="H67" s="73">
        <f t="array" ref="H67">IF(MOD(ROW()-ROW($G$12),3)=1,INDEX(PSAJ!G:G,INT((ROW()-ROW($G$12))/3)+8),"")</f>
        <v>80</v>
      </c>
      <c r="I67" s="73">
        <f t="array" ref="I67">IF(MOD(ROW()-ROW($G$12),3)=1,INDEX(PSAJ!H:H,INT((ROW()-ROW($G$12))/3)+8),"")</f>
        <v>83</v>
      </c>
      <c r="J67" s="73">
        <f t="array" ref="J67">IF(MOD(ROW()-ROW($G$12),3)=1,INDEX(PSAJ!I:I,INT((ROW()-ROW($G$12))/3)+8),"")</f>
        <v>80</v>
      </c>
      <c r="K67" s="73">
        <f t="array" ref="K67">IF(MOD(ROW()-ROW($G$12),3)=1,INDEX(PSAJ!J:J,INT((ROW()-ROW($G$12))/3)+8),"")</f>
        <v>79</v>
      </c>
      <c r="L67" s="73">
        <f t="array" ref="L67">IF(MOD(ROW()-ROW($G$12),3)=1,INDEX(PSAJ!K:K,INT((ROW()-ROW($G$12))/3)+8),"")</f>
        <v>80</v>
      </c>
      <c r="M67" s="73">
        <f t="array" ref="M67">IF(MOD(ROW()-ROW($G$12),3)=1,INDEX(PSAJ!L:L,INT((ROW()-ROW($G$12))/3)+8),"")</f>
        <v>80</v>
      </c>
      <c r="N67" s="73">
        <f t="array" ref="N67">IF(MOD(ROW()-ROW($G$12),3)=1,INDEX(PSAJ!M:M,INT((ROW()-ROW($G$12))/3)+8),"")</f>
        <v>78</v>
      </c>
      <c r="O67" s="73">
        <f t="array" ref="O67">IF(MOD(ROW()-ROW($G$12),3)=1,INDEX(PSAJ!N:N,INT((ROW()-ROW($G$12))/3)+8),"")</f>
        <v>78</v>
      </c>
      <c r="P67" s="73">
        <f t="array" ref="P67">IF(MOD(ROW()-ROW($G$12),3)=1,INDEX(PSAJ!O:O,INT((ROW()-ROW($G$12))/3)+8),"")</f>
        <v>78</v>
      </c>
      <c r="Q67" s="73">
        <f t="array" ref="Q67">IF(MOD(ROW()-ROW($G$12),3)=1,INDEX(PSAJ!P:P,INT((ROW()-ROW($G$12))/3)+8),"")</f>
        <v>78</v>
      </c>
      <c r="R67" s="73">
        <f t="array" ref="R67">IF(MOD(ROW()-ROW($G$12),3)=1,INDEX(PSAJ!Q:Q,INT((ROW()-ROW($G$12))/3)+8),"")</f>
        <v>83</v>
      </c>
      <c r="S67" s="73">
        <f t="array" ref="S67">IF(MOD(ROW()-ROW($G$12),3)=1,INDEX(PSAJ!R:R,INT((ROW()-ROW($G$12))/3)+8),"")</f>
        <v>85</v>
      </c>
      <c r="T67" s="73">
        <f t="array" ref="T67">IF(MOD(ROW()-ROW($G$12),3)=1,INDEX(PSAJ!S:S,INT((ROW()-ROW($G$12))/3)+8),"")</f>
        <v>80</v>
      </c>
      <c r="U67" s="73">
        <v>0</v>
      </c>
      <c r="V67" s="73">
        <f t="array" ref="V67">IF(MOD(ROW()-ROW($G$12),3)=1,INDEX(PSAJ!T:T,INT((ROW()-ROW($G$12))/3)+8),"")</f>
        <v>80</v>
      </c>
      <c r="W67" s="73">
        <f t="shared" si="55"/>
        <v>1200</v>
      </c>
      <c r="X67" s="73">
        <f>IF(MOD(ROW()-ROW($X$12),3)&lt;&gt;2,ROUND(W67/15,2),"")</f>
        <v>80</v>
      </c>
      <c r="Y67" s="70"/>
      <c r="Z67" s="75"/>
      <c r="AA67" s="56"/>
      <c r="AB67" s="56"/>
      <c r="AC67" s="56"/>
      <c r="AD67" s="56"/>
      <c r="AE67" s="56"/>
    </row>
    <row r="68" spans="1:31" ht="14.5">
      <c r="A68" s="70"/>
      <c r="B68" s="70"/>
      <c r="C68" s="70"/>
      <c r="D68" s="71"/>
      <c r="E68" s="70"/>
      <c r="F68" s="76" t="s">
        <v>135</v>
      </c>
      <c r="G68" s="77">
        <f t="shared" ref="G68:T68" si="56">IF(MOD(ROW()-ROW($G$12),3)=2,((INDEX(G:G,ROW()-2)*$AC$4)+(INDEX(G:G,ROW()-1)*$AE$4))/$AD$5,"")</f>
        <v>80</v>
      </c>
      <c r="H68" s="77">
        <f t="shared" si="56"/>
        <v>79</v>
      </c>
      <c r="I68" s="77">
        <f t="shared" si="56"/>
        <v>81.5</v>
      </c>
      <c r="J68" s="77">
        <f t="shared" si="56"/>
        <v>82.5</v>
      </c>
      <c r="K68" s="77">
        <f t="shared" si="56"/>
        <v>81.5</v>
      </c>
      <c r="L68" s="77">
        <f t="shared" si="56"/>
        <v>82.5</v>
      </c>
      <c r="M68" s="77">
        <f t="shared" si="56"/>
        <v>81</v>
      </c>
      <c r="N68" s="77">
        <f t="shared" si="56"/>
        <v>79</v>
      </c>
      <c r="O68" s="77">
        <f t="shared" si="56"/>
        <v>39</v>
      </c>
      <c r="P68" s="77">
        <f t="shared" si="56"/>
        <v>78</v>
      </c>
      <c r="Q68" s="77">
        <f t="shared" si="56"/>
        <v>80</v>
      </c>
      <c r="R68" s="77">
        <f t="shared" si="56"/>
        <v>80.5</v>
      </c>
      <c r="S68" s="77" t="e">
        <f t="shared" si="56"/>
        <v>#DIV/0!</v>
      </c>
      <c r="T68" s="77" t="e">
        <f t="shared" si="56"/>
        <v>#DIV/0!</v>
      </c>
      <c r="U68" s="77">
        <f t="array" ref="U68">IF(MOD(ROW()-ROW($U$12),3)=2,N(INDEX(U:U,ROW()-2)),0)</f>
        <v>0</v>
      </c>
      <c r="V68" s="77" t="e">
        <f>IF(MOD(ROW()-ROW($G$12),3)=2,((INDEX(V:V,ROW()-2)*$AC$4)+(INDEX(V:V,ROW()-1)*$AE$4))/$AD$5,"")</f>
        <v>#DIV/0!</v>
      </c>
      <c r="W68" s="77" t="e">
        <f>IF(MOD(ROW()-ROW($G$12),3)=2,((INDEX(W:W,ROW()-2)*$AC$4)+(INDEX(W:W,ROW()-1)*$AE$4))/$AD$5,"")</f>
        <v>#DIV/0!</v>
      </c>
      <c r="X68" s="77" t="e">
        <f>IF(MOD(ROW()-ROW($G$12),3)=2,((INDEX(X:X,ROW()-2)*$AC$4)+(INDEX(X:X,ROW()-1)*$AE$4))/$AD$5,"")</f>
        <v>#DIV/0!</v>
      </c>
      <c r="Y68" s="78"/>
      <c r="Z68" s="77"/>
      <c r="AA68" s="56"/>
      <c r="AB68" s="56"/>
      <c r="AC68" s="56"/>
      <c r="AD68" s="56"/>
      <c r="AE68" s="56"/>
    </row>
    <row r="69" spans="1:31" ht="14.5">
      <c r="A69" s="70">
        <f t="shared" ref="A69:A70" si="57">IF(MOD(ROW()-12,3)=0,INT((ROW()-12)/3)+1,"")</f>
        <v>20</v>
      </c>
      <c r="B69" s="70">
        <f t="array" ref="B69">IF(MOD(ROW()-ROW($B$12),3)=0,INDEX(BIODATA!B:B,INT((ROW()-ROW($B$12))/3)+24),"")</f>
        <v>0</v>
      </c>
      <c r="C69" s="70">
        <f t="array" ref="C69">IF(MOD(ROW()-ROW($B$12),3)=0,INDEX(BIODATA!C:C,INT((ROW()-ROW($B$12))/3)+24),"")</f>
        <v>0</v>
      </c>
      <c r="D69" s="71" t="str">
        <f t="array" ref="D69">IF(MOD(ROW()-ROW($B$12),3)=0,INDEX(BIODATA!D:D,INT((ROW()-ROW($B$12))/3)+24),"")</f>
        <v>MUHAMMAD RIDHO MAULUDDIN</v>
      </c>
      <c r="E69" s="70" t="str">
        <f t="array" ref="E69">IF(MOD(ROW()-ROW($B$12),3)=0,INDEX(BIODATA!H:H,INT((ROW()-ROW($B$12))/3)+24),"")</f>
        <v>L</v>
      </c>
      <c r="F69" s="72" t="s">
        <v>134</v>
      </c>
      <c r="G69" s="73">
        <f t="array" ref="G69">IF(MOD(ROW()-ROW($G$12),3)=0,INDEX(RR!L:L,INT((ROW()-ROW($G$12))/3)+9),"")</f>
        <v>83</v>
      </c>
      <c r="H69" s="73">
        <f t="array" ref="H69">IF(MOD(ROW()-ROW($H$12),3)=0,INDEX(RR!R:R,INT((ROW()-ROW($H$12))/3)+9),"")</f>
        <v>99</v>
      </c>
      <c r="I69" s="73">
        <f t="array" ref="I69">IF(MOD(ROW()-ROW($I$12),3)=0,INDEX(RR!X:X,INT((ROW()-ROW($I$12))/3)+9),"")</f>
        <v>81</v>
      </c>
      <c r="J69" s="73">
        <f t="array" ref="J69">IF(MOD(ROW()-ROW($I$12),3)=0,INDEX(RR!AC:AC,INT((ROW()-ROW($I$12))/3)+9),"")</f>
        <v>86</v>
      </c>
      <c r="K69" s="73">
        <f t="array" ref="K69">IF(MOD(ROW()-ROW($I$12),3)=0,INDEX(RR!AH:AH,INT((ROW()-ROW($I$12))/3)+9),"")</f>
        <v>85</v>
      </c>
      <c r="L69" s="73">
        <f t="array" ref="L69">IF(MOD(ROW()-ROW($I$12),3)=0,INDEX(RR!AK:AK,INT((ROW()-ROW($I$12))/3)+9),"")</f>
        <v>85</v>
      </c>
      <c r="M69" s="73">
        <f t="array" ref="M69">IF(MOD(ROW()-ROW($I$12),3)=0,INDEX(RR!AQ:AQ,INT((ROW()-ROW($I$12))/3)+9),"")</f>
        <v>83</v>
      </c>
      <c r="N69" s="73">
        <f t="array" ref="N69">IF(MOD(ROW()-ROW($I$12),3)=0,INDEX(RR!AW:AW,INT((ROW()-ROW($I$12))/3)+9),"")</f>
        <v>70</v>
      </c>
      <c r="O69" s="73">
        <f t="array" ref="O69">IF(MOD(ROW()-ROW($I$12),3)=0,INDEX(RR!BB:BB,INT((ROW()-ROW($I$12))/3)+9),"")</f>
        <v>0</v>
      </c>
      <c r="P69" s="73">
        <f t="array" ref="P69">IF(MOD(ROW()-ROW($I$12),3)=0,INDEX(RR!BF:BF,INT((ROW()-ROW($I$12))/3)+9),"")</f>
        <v>78</v>
      </c>
      <c r="Q69" s="73">
        <f t="array" ref="Q69">IF(MOD(ROW()-ROW($I$12),3)=0,INDEX(RR!BI:BI,INT((ROW()-ROW($I$12))/3)+9),"")</f>
        <v>82</v>
      </c>
      <c r="R69" s="73">
        <f t="array" ref="R69">IF(MOD(ROW()-ROW($I$12),3)=0,INDEX(RR!BL:BL,INT((ROW()-ROW($I$12))/3)+9),"")</f>
        <v>78</v>
      </c>
      <c r="S69" s="73" t="e">
        <f t="array" ref="S69">IF(MOD(ROW()-ROW($I$12),3)=0,INDEX(RR!BP:BP,INT((ROW()-ROW($I$12))/3)+9),"")</f>
        <v>#DIV/0!</v>
      </c>
      <c r="T69" s="73" t="e">
        <f t="array" ref="T69">IF(MOD(ROW()-ROW($I$12),3)=0,INDEX(RR!BT:BT,INT((ROW()-ROW($I$12))/3)+9),"")</f>
        <v>#DIV/0!</v>
      </c>
      <c r="U69" s="73">
        <f t="array" ref="U69">IF(MOD(ROW()-ROW($I$12),3)=0,INDEX(RR!BV:BV,INT((ROW()-ROW($I$12))/3)+9),"")</f>
        <v>0</v>
      </c>
      <c r="V69" s="73" t="e">
        <f t="array" ref="V69">IF(MOD(ROW()-ROW($I$12),3)=0,INDEX(RR!BZ:BZ,INT((ROW()-ROW($I$12))/3)+9),"")</f>
        <v>#DIV/0!</v>
      </c>
      <c r="W69" s="73" t="e">
        <f t="shared" ref="W69:W70" si="58">IF(MOD(ROW()-ROW($W$12),3)&lt;&gt;2,SUM(G69:V69),"")</f>
        <v>#DIV/0!</v>
      </c>
      <c r="X69" s="73" t="e">
        <f>IF(MOD(ROW()-ROW($X$12),3)&lt;&gt;2,ROUND(W69/16,2),"")</f>
        <v>#DIV/0!</v>
      </c>
      <c r="Y69" s="70"/>
      <c r="Z69" s="74" t="e">
        <f t="array" ref="Z69">IF(MOD(ROW()-ROW($Z$12),3)=0,IF(INDEX(X:X,ROW()+2)&gt;=$AC$9,"L","TL"),"")</f>
        <v>#DIV/0!</v>
      </c>
      <c r="AA69" s="56"/>
      <c r="AB69" s="56"/>
      <c r="AC69" s="56"/>
      <c r="AD69" s="56"/>
      <c r="AE69" s="56"/>
    </row>
    <row r="70" spans="1:31" ht="14.5">
      <c r="A70" s="70" t="str">
        <f t="shared" si="57"/>
        <v/>
      </c>
      <c r="B70" s="70" t="str">
        <f t="array" ref="B70">IF(MOD(ROW()-ROW($B$12),3)=0,INDEX(BIODATA!B:B,INT((ROW()-ROW($B$12))/3)+24),"")</f>
        <v/>
      </c>
      <c r="C70" s="70"/>
      <c r="D70" s="71"/>
      <c r="E70" s="70"/>
      <c r="F70" s="72" t="s">
        <v>105</v>
      </c>
      <c r="G70" s="73">
        <f t="array" ref="G70">IF(MOD(ROW()-ROW($G$12),3)=1,INDEX(PSAJ!F:F,INT((ROW()-ROW($G$12))/3)+8),"")</f>
        <v>0</v>
      </c>
      <c r="H70" s="73">
        <f t="array" ref="H70">IF(MOD(ROW()-ROW($G$12),3)=1,INDEX(PSAJ!G:G,INT((ROW()-ROW($G$12))/3)+8),"")</f>
        <v>0</v>
      </c>
      <c r="I70" s="73">
        <f t="array" ref="I70">IF(MOD(ROW()-ROW($G$12),3)=1,INDEX(PSAJ!H:H,INT((ROW()-ROW($G$12))/3)+8),"")</f>
        <v>0</v>
      </c>
      <c r="J70" s="73">
        <f t="array" ref="J70">IF(MOD(ROW()-ROW($G$12),3)=1,INDEX(PSAJ!I:I,INT((ROW()-ROW($G$12))/3)+8),"")</f>
        <v>0</v>
      </c>
      <c r="K70" s="73">
        <f t="array" ref="K70">IF(MOD(ROW()-ROW($G$12),3)=1,INDEX(PSAJ!J:J,INT((ROW()-ROW($G$12))/3)+8),"")</f>
        <v>0</v>
      </c>
      <c r="L70" s="73">
        <f t="array" ref="L70">IF(MOD(ROW()-ROW($G$12),3)=1,INDEX(PSAJ!K:K,INT((ROW()-ROW($G$12))/3)+8),"")</f>
        <v>0</v>
      </c>
      <c r="M70" s="73">
        <f t="array" ref="M70">IF(MOD(ROW()-ROW($G$12),3)=1,INDEX(PSAJ!L:L,INT((ROW()-ROW($G$12))/3)+8),"")</f>
        <v>0</v>
      </c>
      <c r="N70" s="73">
        <f t="array" ref="N70">IF(MOD(ROW()-ROW($G$12),3)=1,INDEX(PSAJ!M:M,INT((ROW()-ROW($G$12))/3)+8),"")</f>
        <v>0</v>
      </c>
      <c r="O70" s="73">
        <f t="array" ref="O70">IF(MOD(ROW()-ROW($G$12),3)=1,INDEX(PSAJ!N:N,INT((ROW()-ROW($G$12))/3)+8),"")</f>
        <v>0</v>
      </c>
      <c r="P70" s="73">
        <f t="array" ref="P70">IF(MOD(ROW()-ROW($G$12),3)=1,INDEX(PSAJ!O:O,INT((ROW()-ROW($G$12))/3)+8),"")</f>
        <v>0</v>
      </c>
      <c r="Q70" s="73">
        <f t="array" ref="Q70">IF(MOD(ROW()-ROW($G$12),3)=1,INDEX(PSAJ!P:P,INT((ROW()-ROW($G$12))/3)+8),"")</f>
        <v>0</v>
      </c>
      <c r="R70" s="73">
        <f t="array" ref="R70">IF(MOD(ROW()-ROW($G$12),3)=1,INDEX(PSAJ!Q:Q,INT((ROW()-ROW($G$12))/3)+8),"")</f>
        <v>0</v>
      </c>
      <c r="S70" s="73">
        <f t="array" ref="S70">IF(MOD(ROW()-ROW($G$12),3)=1,INDEX(PSAJ!R:R,INT((ROW()-ROW($G$12))/3)+8),"")</f>
        <v>0</v>
      </c>
      <c r="T70" s="73">
        <f t="array" ref="T70">IF(MOD(ROW()-ROW($G$12),3)=1,INDEX(PSAJ!S:S,INT((ROW()-ROW($G$12))/3)+8),"")</f>
        <v>0</v>
      </c>
      <c r="U70" s="73">
        <v>0</v>
      </c>
      <c r="V70" s="73">
        <f t="array" ref="V70">IF(MOD(ROW()-ROW($G$12),3)=1,INDEX(PSAJ!T:T,INT((ROW()-ROW($G$12))/3)+8),"")</f>
        <v>0</v>
      </c>
      <c r="W70" s="73">
        <f t="shared" si="58"/>
        <v>0</v>
      </c>
      <c r="X70" s="73">
        <f>IF(MOD(ROW()-ROW($X$12),3)&lt;&gt;2,ROUND(W70/15,2),"")</f>
        <v>0</v>
      </c>
      <c r="Y70" s="70"/>
      <c r="Z70" s="75"/>
      <c r="AA70" s="56"/>
      <c r="AB70" s="56"/>
      <c r="AC70" s="56"/>
      <c r="AD70" s="56"/>
      <c r="AE70" s="56"/>
    </row>
    <row r="71" spans="1:31" ht="14.5">
      <c r="A71" s="70"/>
      <c r="B71" s="70"/>
      <c r="C71" s="70"/>
      <c r="D71" s="71"/>
      <c r="E71" s="70"/>
      <c r="F71" s="76" t="s">
        <v>135</v>
      </c>
      <c r="G71" s="77">
        <f t="shared" ref="G71:T71" si="59">IF(MOD(ROW()-ROW($G$12),3)=2,((INDEX(G:G,ROW()-2)*$AC$4)+(INDEX(G:G,ROW()-1)*$AE$4))/$AD$5,"")</f>
        <v>41.5</v>
      </c>
      <c r="H71" s="77">
        <f t="shared" si="59"/>
        <v>49.5</v>
      </c>
      <c r="I71" s="77">
        <f t="shared" si="59"/>
        <v>40.5</v>
      </c>
      <c r="J71" s="77">
        <f t="shared" si="59"/>
        <v>43</v>
      </c>
      <c r="K71" s="77">
        <f t="shared" si="59"/>
        <v>42.5</v>
      </c>
      <c r="L71" s="77">
        <f t="shared" si="59"/>
        <v>42.5</v>
      </c>
      <c r="M71" s="77">
        <f t="shared" si="59"/>
        <v>41.5</v>
      </c>
      <c r="N71" s="77">
        <f t="shared" si="59"/>
        <v>35</v>
      </c>
      <c r="O71" s="77">
        <f t="shared" si="59"/>
        <v>0</v>
      </c>
      <c r="P71" s="77">
        <f t="shared" si="59"/>
        <v>39</v>
      </c>
      <c r="Q71" s="77">
        <f t="shared" si="59"/>
        <v>41</v>
      </c>
      <c r="R71" s="77">
        <f t="shared" si="59"/>
        <v>39</v>
      </c>
      <c r="S71" s="77" t="e">
        <f t="shared" si="59"/>
        <v>#DIV/0!</v>
      </c>
      <c r="T71" s="77" t="e">
        <f t="shared" si="59"/>
        <v>#DIV/0!</v>
      </c>
      <c r="U71" s="77">
        <f t="array" ref="U71">IF(MOD(ROW()-ROW($U$12),3)=2,N(INDEX(U:U,ROW()-2)),0)</f>
        <v>0</v>
      </c>
      <c r="V71" s="77" t="e">
        <f>IF(MOD(ROW()-ROW($G$12),3)=2,((INDEX(V:V,ROW()-2)*$AC$4)+(INDEX(V:V,ROW()-1)*$AE$4))/$AD$5,"")</f>
        <v>#DIV/0!</v>
      </c>
      <c r="W71" s="77" t="e">
        <f>IF(MOD(ROW()-ROW($G$12),3)=2,((INDEX(W:W,ROW()-2)*$AC$4)+(INDEX(W:W,ROW()-1)*$AE$4))/$AD$5,"")</f>
        <v>#DIV/0!</v>
      </c>
      <c r="X71" s="77" t="e">
        <f>IF(MOD(ROW()-ROW($G$12),3)=2,((INDEX(X:X,ROW()-2)*$AC$4)+(INDEX(X:X,ROW()-1)*$AE$4))/$AD$5,"")</f>
        <v>#DIV/0!</v>
      </c>
      <c r="Y71" s="78"/>
      <c r="Z71" s="77"/>
      <c r="AA71" s="56"/>
      <c r="AB71" s="56"/>
      <c r="AC71" s="56"/>
      <c r="AD71" s="56"/>
      <c r="AE71" s="56"/>
    </row>
    <row r="72" spans="1:31" ht="14.5">
      <c r="A72" s="70">
        <f t="shared" ref="A72:A73" si="60">IF(MOD(ROW()-12,3)=0,INT((ROW()-12)/3)+1,"")</f>
        <v>21</v>
      </c>
      <c r="B72" s="70">
        <f t="array" ref="B72">IF(MOD(ROW()-ROW($B$12),3)=0,INDEX(BIODATA!B:B,INT((ROW()-ROW($B$12))/3)+24),"")</f>
        <v>0</v>
      </c>
      <c r="C72" s="70">
        <f t="array" ref="C72">IF(MOD(ROW()-ROW($B$12),3)=0,INDEX(BIODATA!C:C,INT((ROW()-ROW($B$12))/3)+24),"")</f>
        <v>0</v>
      </c>
      <c r="D72" s="71" t="str">
        <f t="array" ref="D72">IF(MOD(ROW()-ROW($B$12),3)=0,INDEX(BIODATA!D:D,INT((ROW()-ROW($B$12))/3)+24),"")</f>
        <v>MUKHAMMAD ILHAM WIDIANTO</v>
      </c>
      <c r="E72" s="70" t="str">
        <f t="array" ref="E72">IF(MOD(ROW()-ROW($B$12),3)=0,INDEX(BIODATA!H:H,INT((ROW()-ROW($B$12))/3)+24),"")</f>
        <v>L</v>
      </c>
      <c r="F72" s="72" t="s">
        <v>134</v>
      </c>
      <c r="G72" s="73">
        <f t="array" ref="G72">IF(MOD(ROW()-ROW($G$12),3)=0,INDEX(RR!L:L,INT((ROW()-ROW($G$12))/3)+9),"")</f>
        <v>83</v>
      </c>
      <c r="H72" s="73">
        <f t="array" ref="H72">IF(MOD(ROW()-ROW($H$12),3)=0,INDEX(RR!R:R,INT((ROW()-ROW($H$12))/3)+9),"")</f>
        <v>79</v>
      </c>
      <c r="I72" s="73">
        <f t="array" ref="I72">IF(MOD(ROW()-ROW($I$12),3)=0,INDEX(RR!X:X,INT((ROW()-ROW($I$12))/3)+9),"")</f>
        <v>82</v>
      </c>
      <c r="J72" s="73">
        <f t="array" ref="J72">IF(MOD(ROW()-ROW($I$12),3)=0,INDEX(RR!AC:AC,INT((ROW()-ROW($I$12))/3)+9),"")</f>
        <v>87</v>
      </c>
      <c r="K72" s="73">
        <f t="array" ref="K72">IF(MOD(ROW()-ROW($I$12),3)=0,INDEX(RR!AH:AH,INT((ROW()-ROW($I$12))/3)+9),"")</f>
        <v>85</v>
      </c>
      <c r="L72" s="73">
        <f t="array" ref="L72">IF(MOD(ROW()-ROW($I$12),3)=0,INDEX(RR!AK:AK,INT((ROW()-ROW($I$12))/3)+9),"")</f>
        <v>90</v>
      </c>
      <c r="M72" s="73">
        <f t="array" ref="M72">IF(MOD(ROW()-ROW($I$12),3)=0,INDEX(RR!AQ:AQ,INT((ROW()-ROW($I$12))/3)+9),"")</f>
        <v>83</v>
      </c>
      <c r="N72" s="73">
        <f t="array" ref="N72">IF(MOD(ROW()-ROW($I$12),3)=0,INDEX(RR!AW:AW,INT((ROW()-ROW($I$12))/3)+9),"")</f>
        <v>0</v>
      </c>
      <c r="O72" s="73">
        <f t="array" ref="O72">IF(MOD(ROW()-ROW($I$12),3)=0,INDEX(RR!BB:BB,INT((ROW()-ROW($I$12))/3)+9),"")</f>
        <v>0</v>
      </c>
      <c r="P72" s="73">
        <f t="array" ref="P72">IF(MOD(ROW()-ROW($I$12),3)=0,INDEX(RR!BF:BF,INT((ROW()-ROW($I$12))/3)+9),"")</f>
        <v>78</v>
      </c>
      <c r="Q72" s="73">
        <f t="array" ref="Q72">IF(MOD(ROW()-ROW($I$12),3)=0,INDEX(RR!BI:BI,INT((ROW()-ROW($I$12))/3)+9),"")</f>
        <v>80</v>
      </c>
      <c r="R72" s="73">
        <f t="array" ref="R72">IF(MOD(ROW()-ROW($I$12),3)=0,INDEX(RR!BL:BL,INT((ROW()-ROW($I$12))/3)+9),"")</f>
        <v>78</v>
      </c>
      <c r="S72" s="73" t="e">
        <f t="array" ref="S72">IF(MOD(ROW()-ROW($I$12),3)=0,INDEX(RR!BP:BP,INT((ROW()-ROW($I$12))/3)+9),"")</f>
        <v>#DIV/0!</v>
      </c>
      <c r="T72" s="73" t="e">
        <f t="array" ref="T72">IF(MOD(ROW()-ROW($I$12),3)=0,INDEX(RR!BT:BT,INT((ROW()-ROW($I$12))/3)+9),"")</f>
        <v>#DIV/0!</v>
      </c>
      <c r="U72" s="73">
        <f t="array" ref="U72">IF(MOD(ROW()-ROW($I$12),3)=0,INDEX(RR!BV:BV,INT((ROW()-ROW($I$12))/3)+9),"")</f>
        <v>0</v>
      </c>
      <c r="V72" s="73" t="e">
        <f t="array" ref="V72">IF(MOD(ROW()-ROW($I$12),3)=0,INDEX(RR!BZ:BZ,INT((ROW()-ROW($I$12))/3)+9),"")</f>
        <v>#DIV/0!</v>
      </c>
      <c r="W72" s="73" t="e">
        <f t="shared" ref="W72:W73" si="61">IF(MOD(ROW()-ROW($W$12),3)&lt;&gt;2,SUM(G72:V72),"")</f>
        <v>#DIV/0!</v>
      </c>
      <c r="X72" s="73" t="e">
        <f>IF(MOD(ROW()-ROW($X$12),3)&lt;&gt;2,ROUND(W72/16,2),"")</f>
        <v>#DIV/0!</v>
      </c>
      <c r="Y72" s="70"/>
      <c r="Z72" s="74" t="e">
        <f t="array" ref="Z72">IF(MOD(ROW()-ROW($Z$12),3)=0,IF(INDEX(X:X,ROW()+2)&gt;=$AC$9,"L","TL"),"")</f>
        <v>#DIV/0!</v>
      </c>
      <c r="AA72" s="56"/>
      <c r="AB72" s="56"/>
      <c r="AC72" s="56"/>
      <c r="AD72" s="56"/>
      <c r="AE72" s="56"/>
    </row>
    <row r="73" spans="1:31" ht="14.5">
      <c r="A73" s="70" t="str">
        <f t="shared" si="60"/>
        <v/>
      </c>
      <c r="B73" s="70" t="str">
        <f t="array" ref="B73">IF(MOD(ROW()-ROW($B$12),3)=0,INDEX(BIODATA!B:B,INT((ROW()-ROW($B$12))/3)+24),"")</f>
        <v/>
      </c>
      <c r="C73" s="70"/>
      <c r="D73" s="71"/>
      <c r="E73" s="70"/>
      <c r="F73" s="72" t="s">
        <v>105</v>
      </c>
      <c r="G73" s="73">
        <f t="array" ref="G73">IF(MOD(ROW()-ROW($G$12),3)=1,INDEX(PSAJ!F:F,INT((ROW()-ROW($G$12))/3)+8),"")</f>
        <v>0</v>
      </c>
      <c r="H73" s="73">
        <f t="array" ref="H73">IF(MOD(ROW()-ROW($G$12),3)=1,INDEX(PSAJ!G:G,INT((ROW()-ROW($G$12))/3)+8),"")</f>
        <v>0</v>
      </c>
      <c r="I73" s="73">
        <f t="array" ref="I73">IF(MOD(ROW()-ROW($G$12),3)=1,INDEX(PSAJ!H:H,INT((ROW()-ROW($G$12))/3)+8),"")</f>
        <v>0</v>
      </c>
      <c r="J73" s="73">
        <f t="array" ref="J73">IF(MOD(ROW()-ROW($G$12),3)=1,INDEX(PSAJ!I:I,INT((ROW()-ROW($G$12))/3)+8),"")</f>
        <v>0</v>
      </c>
      <c r="K73" s="73">
        <f t="array" ref="K73">IF(MOD(ROW()-ROW($G$12),3)=1,INDEX(PSAJ!J:J,INT((ROW()-ROW($G$12))/3)+8),"")</f>
        <v>0</v>
      </c>
      <c r="L73" s="73">
        <f t="array" ref="L73">IF(MOD(ROW()-ROW($G$12),3)=1,INDEX(PSAJ!K:K,INT((ROW()-ROW($G$12))/3)+8),"")</f>
        <v>0</v>
      </c>
      <c r="M73" s="73">
        <f t="array" ref="M73">IF(MOD(ROW()-ROW($G$12),3)=1,INDEX(PSAJ!L:L,INT((ROW()-ROW($G$12))/3)+8),"")</f>
        <v>0</v>
      </c>
      <c r="N73" s="73">
        <f t="array" ref="N73">IF(MOD(ROW()-ROW($G$12),3)=1,INDEX(PSAJ!M:M,INT((ROW()-ROW($G$12))/3)+8),"")</f>
        <v>0</v>
      </c>
      <c r="O73" s="73">
        <f t="array" ref="O73">IF(MOD(ROW()-ROW($G$12),3)=1,INDEX(PSAJ!N:N,INT((ROW()-ROW($G$12))/3)+8),"")</f>
        <v>0</v>
      </c>
      <c r="P73" s="73">
        <f t="array" ref="P73">IF(MOD(ROW()-ROW($G$12),3)=1,INDEX(PSAJ!O:O,INT((ROW()-ROW($G$12))/3)+8),"")</f>
        <v>0</v>
      </c>
      <c r="Q73" s="73">
        <f t="array" ref="Q73">IF(MOD(ROW()-ROW($G$12),3)=1,INDEX(PSAJ!P:P,INT((ROW()-ROW($G$12))/3)+8),"")</f>
        <v>0</v>
      </c>
      <c r="R73" s="73">
        <f t="array" ref="R73">IF(MOD(ROW()-ROW($G$12),3)=1,INDEX(PSAJ!Q:Q,INT((ROW()-ROW($G$12))/3)+8),"")</f>
        <v>0</v>
      </c>
      <c r="S73" s="73">
        <f t="array" ref="S73">IF(MOD(ROW()-ROW($G$12),3)=1,INDEX(PSAJ!R:R,INT((ROW()-ROW($G$12))/3)+8),"")</f>
        <v>0</v>
      </c>
      <c r="T73" s="73">
        <f t="array" ref="T73">IF(MOD(ROW()-ROW($G$12),3)=1,INDEX(PSAJ!S:S,INT((ROW()-ROW($G$12))/3)+8),"")</f>
        <v>0</v>
      </c>
      <c r="U73" s="73">
        <v>0</v>
      </c>
      <c r="V73" s="73">
        <f t="array" ref="V73">IF(MOD(ROW()-ROW($G$12),3)=1,INDEX(PSAJ!T:T,INT((ROW()-ROW($G$12))/3)+8),"")</f>
        <v>0</v>
      </c>
      <c r="W73" s="73">
        <f t="shared" si="61"/>
        <v>0</v>
      </c>
      <c r="X73" s="73">
        <f>IF(MOD(ROW()-ROW($X$12),3)&lt;&gt;2,ROUND(W73/15,2),"")</f>
        <v>0</v>
      </c>
      <c r="Y73" s="70"/>
      <c r="Z73" s="75"/>
      <c r="AA73" s="56"/>
      <c r="AB73" s="56"/>
      <c r="AC73" s="56"/>
      <c r="AD73" s="56"/>
      <c r="AE73" s="56"/>
    </row>
    <row r="74" spans="1:31" ht="14.5">
      <c r="A74" s="70"/>
      <c r="B74" s="70"/>
      <c r="C74" s="70"/>
      <c r="D74" s="71"/>
      <c r="E74" s="70"/>
      <c r="F74" s="76" t="s">
        <v>135</v>
      </c>
      <c r="G74" s="77">
        <f t="shared" ref="G74:T74" si="62">IF(MOD(ROW()-ROW($G$12),3)=2,((INDEX(G:G,ROW()-2)*$AC$4)+(INDEX(G:G,ROW()-1)*$AE$4))/$AD$5,"")</f>
        <v>41.5</v>
      </c>
      <c r="H74" s="77">
        <f t="shared" si="62"/>
        <v>39.5</v>
      </c>
      <c r="I74" s="77">
        <f t="shared" si="62"/>
        <v>41</v>
      </c>
      <c r="J74" s="77">
        <f t="shared" si="62"/>
        <v>43.5</v>
      </c>
      <c r="K74" s="77">
        <f t="shared" si="62"/>
        <v>42.5</v>
      </c>
      <c r="L74" s="77">
        <f t="shared" si="62"/>
        <v>45</v>
      </c>
      <c r="M74" s="77">
        <f t="shared" si="62"/>
        <v>41.5</v>
      </c>
      <c r="N74" s="77">
        <f t="shared" si="62"/>
        <v>0</v>
      </c>
      <c r="O74" s="77">
        <f t="shared" si="62"/>
        <v>0</v>
      </c>
      <c r="P74" s="77">
        <f t="shared" si="62"/>
        <v>39</v>
      </c>
      <c r="Q74" s="77">
        <f t="shared" si="62"/>
        <v>40</v>
      </c>
      <c r="R74" s="77">
        <f t="shared" si="62"/>
        <v>39</v>
      </c>
      <c r="S74" s="77" t="e">
        <f t="shared" si="62"/>
        <v>#DIV/0!</v>
      </c>
      <c r="T74" s="77" t="e">
        <f t="shared" si="62"/>
        <v>#DIV/0!</v>
      </c>
      <c r="U74" s="77">
        <f t="array" ref="U74">IF(MOD(ROW()-ROW($U$12),3)=2,N(INDEX(U:U,ROW()-2)),0)</f>
        <v>0</v>
      </c>
      <c r="V74" s="77" t="e">
        <f>IF(MOD(ROW()-ROW($G$12),3)=2,((INDEX(V:V,ROW()-2)*$AC$4)+(INDEX(V:V,ROW()-1)*$AE$4))/$AD$5,"")</f>
        <v>#DIV/0!</v>
      </c>
      <c r="W74" s="77" t="e">
        <f>IF(MOD(ROW()-ROW($G$12),3)=2,((INDEX(W:W,ROW()-2)*$AC$4)+(INDEX(W:W,ROW()-1)*$AE$4))/$AD$5,"")</f>
        <v>#DIV/0!</v>
      </c>
      <c r="X74" s="77" t="e">
        <f>IF(MOD(ROW()-ROW($G$12),3)=2,((INDEX(X:X,ROW()-2)*$AC$4)+(INDEX(X:X,ROW()-1)*$AE$4))/$AD$5,"")</f>
        <v>#DIV/0!</v>
      </c>
      <c r="Y74" s="78"/>
      <c r="Z74" s="77"/>
      <c r="AA74" s="56"/>
      <c r="AB74" s="56"/>
      <c r="AC74" s="56"/>
      <c r="AD74" s="56"/>
      <c r="AE74" s="56"/>
    </row>
    <row r="75" spans="1:31" ht="14.5">
      <c r="A75" s="70">
        <f t="shared" ref="A75:A76" si="63">IF(MOD(ROW()-12,3)=0,INT((ROW()-12)/3)+1,"")</f>
        <v>22</v>
      </c>
      <c r="B75" s="70">
        <f t="array" ref="B75">IF(MOD(ROW()-ROW($B$12),3)=0,INDEX(BIODATA!B:B,INT((ROW()-ROW($B$12))/3)+24),"")</f>
        <v>0</v>
      </c>
      <c r="C75" s="70">
        <f t="array" ref="C75">IF(MOD(ROW()-ROW($B$12),3)=0,INDEX(BIODATA!C:C,INT((ROW()-ROW($B$12))/3)+24),"")</f>
        <v>0</v>
      </c>
      <c r="D75" s="71" t="str">
        <f t="array" ref="D75">IF(MOD(ROW()-ROW($B$12),3)=0,INDEX(BIODATA!D:D,INT((ROW()-ROW($B$12))/3)+24),"")</f>
        <v>PANDU WAHYUDA ARIS HERMAWAN</v>
      </c>
      <c r="E75" s="70" t="str">
        <f t="array" ref="E75">IF(MOD(ROW()-ROW($B$12),3)=0,INDEX(BIODATA!H:H,INT((ROW()-ROW($B$12))/3)+24),"")</f>
        <v>L</v>
      </c>
      <c r="F75" s="72" t="s">
        <v>134</v>
      </c>
      <c r="G75" s="73">
        <f t="array" ref="G75">IF(MOD(ROW()-ROW($G$12),3)=0,INDEX(RR!L:L,INT((ROW()-ROW($G$12))/3)+9),"")</f>
        <v>90</v>
      </c>
      <c r="H75" s="73">
        <f t="array" ref="H75">IF(MOD(ROW()-ROW($H$12),3)=0,INDEX(RR!R:R,INT((ROW()-ROW($H$12))/3)+9),"")</f>
        <v>99</v>
      </c>
      <c r="I75" s="73">
        <f t="array" ref="I75">IF(MOD(ROW()-ROW($I$12),3)=0,INDEX(RR!X:X,INT((ROW()-ROW($I$12))/3)+9),"")</f>
        <v>81</v>
      </c>
      <c r="J75" s="73">
        <f t="array" ref="J75">IF(MOD(ROW()-ROW($I$12),3)=0,INDEX(RR!AC:AC,INT((ROW()-ROW($I$12))/3)+9),"")</f>
        <v>85</v>
      </c>
      <c r="K75" s="73">
        <f t="array" ref="K75">IF(MOD(ROW()-ROW($I$12),3)=0,INDEX(RR!AH:AH,INT((ROW()-ROW($I$12))/3)+9),"")</f>
        <v>92</v>
      </c>
      <c r="L75" s="73">
        <f t="array" ref="L75">IF(MOD(ROW()-ROW($I$12),3)=0,INDEX(RR!AK:AK,INT((ROW()-ROW($I$12))/3)+9),"")</f>
        <v>95</v>
      </c>
      <c r="M75" s="73">
        <f t="array" ref="M75">IF(MOD(ROW()-ROW($I$12),3)=0,INDEX(RR!AQ:AQ,INT((ROW()-ROW($I$12))/3)+9),"")</f>
        <v>90</v>
      </c>
      <c r="N75" s="73">
        <f t="array" ref="N75">IF(MOD(ROW()-ROW($I$12),3)=0,INDEX(RR!AW:AW,INT((ROW()-ROW($I$12))/3)+9),"")</f>
        <v>80</v>
      </c>
      <c r="O75" s="73">
        <f t="array" ref="O75">IF(MOD(ROW()-ROW($I$12),3)=0,INDEX(RR!BB:BB,INT((ROW()-ROW($I$12))/3)+9),"")</f>
        <v>0</v>
      </c>
      <c r="P75" s="73">
        <f t="array" ref="P75">IF(MOD(ROW()-ROW($I$12),3)=0,INDEX(RR!BF:BF,INT((ROW()-ROW($I$12))/3)+9),"")</f>
        <v>93.333333333333329</v>
      </c>
      <c r="Q75" s="73">
        <f t="array" ref="Q75">IF(MOD(ROW()-ROW($I$12),3)=0,INDEX(RR!BI:BI,INT((ROW()-ROW($I$12))/3)+9),"")</f>
        <v>81</v>
      </c>
      <c r="R75" s="73">
        <f t="array" ref="R75">IF(MOD(ROW()-ROW($I$12),3)=0,INDEX(RR!BL:BL,INT((ROW()-ROW($I$12))/3)+9),"")</f>
        <v>93.333333333333329</v>
      </c>
      <c r="S75" s="73" t="e">
        <f t="array" ref="S75">IF(MOD(ROW()-ROW($I$12),3)=0,INDEX(RR!BP:BP,INT((ROW()-ROW($I$12))/3)+9),"")</f>
        <v>#DIV/0!</v>
      </c>
      <c r="T75" s="73" t="e">
        <f t="array" ref="T75">IF(MOD(ROW()-ROW($I$12),3)=0,INDEX(RR!BT:BT,INT((ROW()-ROW($I$12))/3)+9),"")</f>
        <v>#DIV/0!</v>
      </c>
      <c r="U75" s="73">
        <f t="array" ref="U75">IF(MOD(ROW()-ROW($I$12),3)=0,INDEX(RR!BV:BV,INT((ROW()-ROW($I$12))/3)+9),"")</f>
        <v>0</v>
      </c>
      <c r="V75" s="73" t="e">
        <f t="array" ref="V75">IF(MOD(ROW()-ROW($I$12),3)=0,INDEX(RR!BZ:BZ,INT((ROW()-ROW($I$12))/3)+9),"")</f>
        <v>#DIV/0!</v>
      </c>
      <c r="W75" s="73" t="e">
        <f t="shared" ref="W75:W76" si="64">IF(MOD(ROW()-ROW($W$12),3)&lt;&gt;2,SUM(G75:V75),"")</f>
        <v>#DIV/0!</v>
      </c>
      <c r="X75" s="73" t="e">
        <f>IF(MOD(ROW()-ROW($X$12),3)&lt;&gt;2,ROUND(W75/16,2),"")</f>
        <v>#DIV/0!</v>
      </c>
      <c r="Y75" s="70"/>
      <c r="Z75" s="74" t="e">
        <f t="array" ref="Z75">IF(MOD(ROW()-ROW($Z$12),3)=0,IF(INDEX(X:X,ROW()+2)&gt;=$AC$9,"L","TL"),"")</f>
        <v>#DIV/0!</v>
      </c>
      <c r="AA75" s="56"/>
      <c r="AB75" s="56"/>
      <c r="AC75" s="56"/>
      <c r="AD75" s="56"/>
      <c r="AE75" s="56"/>
    </row>
    <row r="76" spans="1:31" ht="14.5">
      <c r="A76" s="70" t="str">
        <f t="shared" si="63"/>
        <v/>
      </c>
      <c r="B76" s="70" t="str">
        <f t="array" ref="B76">IF(MOD(ROW()-ROW($B$12),3)=0,INDEX(BIODATA!B:B,INT((ROW()-ROW($B$12))/3)+24),"")</f>
        <v/>
      </c>
      <c r="C76" s="70"/>
      <c r="D76" s="71"/>
      <c r="E76" s="70"/>
      <c r="F76" s="72" t="s">
        <v>105</v>
      </c>
      <c r="G76" s="73">
        <f t="array" ref="G76">IF(MOD(ROW()-ROW($G$12),3)=1,INDEX(PSAJ!F:F,INT((ROW()-ROW($G$12))/3)+8),"")</f>
        <v>0</v>
      </c>
      <c r="H76" s="73">
        <f t="array" ref="H76">IF(MOD(ROW()-ROW($G$12),3)=1,INDEX(PSAJ!G:G,INT((ROW()-ROW($G$12))/3)+8),"")</f>
        <v>0</v>
      </c>
      <c r="I76" s="73">
        <f t="array" ref="I76">IF(MOD(ROW()-ROW($G$12),3)=1,INDEX(PSAJ!H:H,INT((ROW()-ROW($G$12))/3)+8),"")</f>
        <v>0</v>
      </c>
      <c r="J76" s="73">
        <f t="array" ref="J76">IF(MOD(ROW()-ROW($G$12),3)=1,INDEX(PSAJ!I:I,INT((ROW()-ROW($G$12))/3)+8),"")</f>
        <v>0</v>
      </c>
      <c r="K76" s="73">
        <f t="array" ref="K76">IF(MOD(ROW()-ROW($G$12),3)=1,INDEX(PSAJ!J:J,INT((ROW()-ROW($G$12))/3)+8),"")</f>
        <v>0</v>
      </c>
      <c r="L76" s="73">
        <f t="array" ref="L76">IF(MOD(ROW()-ROW($G$12),3)=1,INDEX(PSAJ!K:K,INT((ROW()-ROW($G$12))/3)+8),"")</f>
        <v>0</v>
      </c>
      <c r="M76" s="73">
        <f t="array" ref="M76">IF(MOD(ROW()-ROW($G$12),3)=1,INDEX(PSAJ!L:L,INT((ROW()-ROW($G$12))/3)+8),"")</f>
        <v>0</v>
      </c>
      <c r="N76" s="73">
        <f t="array" ref="N76">IF(MOD(ROW()-ROW($G$12),3)=1,INDEX(PSAJ!M:M,INT((ROW()-ROW($G$12))/3)+8),"")</f>
        <v>0</v>
      </c>
      <c r="O76" s="73">
        <f t="array" ref="O76">IF(MOD(ROW()-ROW($G$12),3)=1,INDEX(PSAJ!N:N,INT((ROW()-ROW($G$12))/3)+8),"")</f>
        <v>0</v>
      </c>
      <c r="P76" s="73">
        <f t="array" ref="P76">IF(MOD(ROW()-ROW($G$12),3)=1,INDEX(PSAJ!O:O,INT((ROW()-ROW($G$12))/3)+8),"")</f>
        <v>0</v>
      </c>
      <c r="Q76" s="73">
        <f t="array" ref="Q76">IF(MOD(ROW()-ROW($G$12),3)=1,INDEX(PSAJ!P:P,INT((ROW()-ROW($G$12))/3)+8),"")</f>
        <v>0</v>
      </c>
      <c r="R76" s="73">
        <f t="array" ref="R76">IF(MOD(ROW()-ROW($G$12),3)=1,INDEX(PSAJ!Q:Q,INT((ROW()-ROW($G$12))/3)+8),"")</f>
        <v>0</v>
      </c>
      <c r="S76" s="73">
        <f t="array" ref="S76">IF(MOD(ROW()-ROW($G$12),3)=1,INDEX(PSAJ!R:R,INT((ROW()-ROW($G$12))/3)+8),"")</f>
        <v>0</v>
      </c>
      <c r="T76" s="73">
        <f t="array" ref="T76">IF(MOD(ROW()-ROW($G$12),3)=1,INDEX(PSAJ!S:S,INT((ROW()-ROW($G$12))/3)+8),"")</f>
        <v>0</v>
      </c>
      <c r="U76" s="73">
        <v>0</v>
      </c>
      <c r="V76" s="73">
        <f t="array" ref="V76">IF(MOD(ROW()-ROW($G$12),3)=1,INDEX(PSAJ!T:T,INT((ROW()-ROW($G$12))/3)+8),"")</f>
        <v>0</v>
      </c>
      <c r="W76" s="73">
        <f t="shared" si="64"/>
        <v>0</v>
      </c>
      <c r="X76" s="73">
        <f>IF(MOD(ROW()-ROW($X$12),3)&lt;&gt;2,ROUND(W76/15,2),"")</f>
        <v>0</v>
      </c>
      <c r="Y76" s="70"/>
      <c r="Z76" s="75"/>
      <c r="AA76" s="56"/>
      <c r="AB76" s="56"/>
      <c r="AC76" s="56"/>
      <c r="AD76" s="56"/>
      <c r="AE76" s="56"/>
    </row>
    <row r="77" spans="1:31" ht="14.5">
      <c r="A77" s="70"/>
      <c r="B77" s="70"/>
      <c r="C77" s="70"/>
      <c r="D77" s="71"/>
      <c r="E77" s="70"/>
      <c r="F77" s="76" t="s">
        <v>135</v>
      </c>
      <c r="G77" s="77">
        <f t="shared" ref="G77:T77" si="65">IF(MOD(ROW()-ROW($G$12),3)=2,((INDEX(G:G,ROW()-2)*$AC$4)+(INDEX(G:G,ROW()-1)*$AE$4))/$AD$5,"")</f>
        <v>45</v>
      </c>
      <c r="H77" s="77">
        <f t="shared" si="65"/>
        <v>49.5</v>
      </c>
      <c r="I77" s="77">
        <f t="shared" si="65"/>
        <v>40.5</v>
      </c>
      <c r="J77" s="77">
        <f t="shared" si="65"/>
        <v>42.5</v>
      </c>
      <c r="K77" s="77">
        <f t="shared" si="65"/>
        <v>46</v>
      </c>
      <c r="L77" s="77">
        <f t="shared" si="65"/>
        <v>47.5</v>
      </c>
      <c r="M77" s="77">
        <f t="shared" si="65"/>
        <v>45</v>
      </c>
      <c r="N77" s="77">
        <f t="shared" si="65"/>
        <v>40</v>
      </c>
      <c r="O77" s="77">
        <f t="shared" si="65"/>
        <v>0</v>
      </c>
      <c r="P77" s="77">
        <f t="shared" si="65"/>
        <v>46.666666666666657</v>
      </c>
      <c r="Q77" s="77">
        <f t="shared" si="65"/>
        <v>40.5</v>
      </c>
      <c r="R77" s="77">
        <f t="shared" si="65"/>
        <v>46.666666666666657</v>
      </c>
      <c r="S77" s="77" t="e">
        <f t="shared" si="65"/>
        <v>#DIV/0!</v>
      </c>
      <c r="T77" s="77" t="e">
        <f t="shared" si="65"/>
        <v>#DIV/0!</v>
      </c>
      <c r="U77" s="77">
        <f t="array" ref="U77">IF(MOD(ROW()-ROW($U$12),3)=2,N(INDEX(U:U,ROW()-2)),0)</f>
        <v>0</v>
      </c>
      <c r="V77" s="77" t="e">
        <f>IF(MOD(ROW()-ROW($G$12),3)=2,((INDEX(V:V,ROW()-2)*$AC$4)+(INDEX(V:V,ROW()-1)*$AE$4))/$AD$5,"")</f>
        <v>#DIV/0!</v>
      </c>
      <c r="W77" s="77" t="e">
        <f>IF(MOD(ROW()-ROW($G$12),3)=2,((INDEX(W:W,ROW()-2)*$AC$4)+(INDEX(W:W,ROW()-1)*$AE$4))/$AD$5,"")</f>
        <v>#DIV/0!</v>
      </c>
      <c r="X77" s="77" t="e">
        <f>IF(MOD(ROW()-ROW($G$12),3)=2,((INDEX(X:X,ROW()-2)*$AC$4)+(INDEX(X:X,ROW()-1)*$AE$4))/$AD$5,"")</f>
        <v>#DIV/0!</v>
      </c>
      <c r="Y77" s="78"/>
      <c r="Z77" s="77"/>
      <c r="AA77" s="56"/>
      <c r="AB77" s="56"/>
      <c r="AC77" s="56"/>
      <c r="AD77" s="56"/>
      <c r="AE77" s="56"/>
    </row>
    <row r="78" spans="1:31" ht="14.5">
      <c r="A78" s="70">
        <f t="shared" ref="A78:A79" si="66">IF(MOD(ROW()-12,3)=0,INT((ROW()-12)/3)+1,"")</f>
        <v>23</v>
      </c>
      <c r="B78" s="70">
        <f t="array" ref="B78">IF(MOD(ROW()-ROW($B$12),3)=0,INDEX(BIODATA!B:B,INT((ROW()-ROW($B$12))/3)+24),"")</f>
        <v>0</v>
      </c>
      <c r="C78" s="70">
        <f t="array" ref="C78">IF(MOD(ROW()-ROW($B$12),3)=0,INDEX(BIODATA!C:C,INT((ROW()-ROW($B$12))/3)+24),"")</f>
        <v>0</v>
      </c>
      <c r="D78" s="71" t="str">
        <f t="array" ref="D78">IF(MOD(ROW()-ROW($B$12),3)=0,INDEX(BIODATA!D:D,INT((ROW()-ROW($B$12))/3)+24),"")</f>
        <v>PUTRA DWI REVANO</v>
      </c>
      <c r="E78" s="70" t="str">
        <f t="array" ref="E78">IF(MOD(ROW()-ROW($B$12),3)=0,INDEX(BIODATA!H:H,INT((ROW()-ROW($B$12))/3)+24),"")</f>
        <v>L</v>
      </c>
      <c r="F78" s="72" t="s">
        <v>134</v>
      </c>
      <c r="G78" s="73">
        <f t="array" ref="G78">IF(MOD(ROW()-ROW($G$12),3)=0,INDEX(RR!L:L,INT((ROW()-ROW($G$12))/3)+9),"")</f>
        <v>79</v>
      </c>
      <c r="H78" s="73">
        <f t="array" ref="H78">IF(MOD(ROW()-ROW($H$12),3)=0,INDEX(RR!R:R,INT((ROW()-ROW($H$12))/3)+9),"")</f>
        <v>78</v>
      </c>
      <c r="I78" s="73">
        <f t="array" ref="I78">IF(MOD(ROW()-ROW($I$12),3)=0,INDEX(RR!X:X,INT((ROW()-ROW($I$12))/3)+9),"")</f>
        <v>81</v>
      </c>
      <c r="J78" s="73">
        <f t="array" ref="J78">IF(MOD(ROW()-ROW($I$12),3)=0,INDEX(RR!AC:AC,INT((ROW()-ROW($I$12))/3)+9),"")</f>
        <v>86</v>
      </c>
      <c r="K78" s="73">
        <f t="array" ref="K78">IF(MOD(ROW()-ROW($I$12),3)=0,INDEX(RR!AH:AH,INT((ROW()-ROW($I$12))/3)+9),"")</f>
        <v>81</v>
      </c>
      <c r="L78" s="73">
        <f t="array" ref="L78">IF(MOD(ROW()-ROW($I$12),3)=0,INDEX(RR!AK:AK,INT((ROW()-ROW($I$12))/3)+9),"")</f>
        <v>80</v>
      </c>
      <c r="M78" s="73">
        <f t="array" ref="M78">IF(MOD(ROW()-ROW($I$12),3)=0,INDEX(RR!AQ:AQ,INT((ROW()-ROW($I$12))/3)+9),"")</f>
        <v>79</v>
      </c>
      <c r="N78" s="73">
        <f t="array" ref="N78">IF(MOD(ROW()-ROW($I$12),3)=0,INDEX(RR!AW:AW,INT((ROW()-ROW($I$12))/3)+9),"")</f>
        <v>80</v>
      </c>
      <c r="O78" s="73">
        <f t="array" ref="O78">IF(MOD(ROW()-ROW($I$12),3)=0,INDEX(RR!BB:BB,INT((ROW()-ROW($I$12))/3)+9),"")</f>
        <v>0</v>
      </c>
      <c r="P78" s="73">
        <f t="array" ref="P78">IF(MOD(ROW()-ROW($I$12),3)=0,INDEX(RR!BF:BF,INT((ROW()-ROW($I$12))/3)+9),"")</f>
        <v>78</v>
      </c>
      <c r="Q78" s="73">
        <f t="array" ref="Q78">IF(MOD(ROW()-ROW($I$12),3)=0,INDEX(RR!BI:BI,INT((ROW()-ROW($I$12))/3)+9),"")</f>
        <v>80</v>
      </c>
      <c r="R78" s="73">
        <f t="array" ref="R78">IF(MOD(ROW()-ROW($I$12),3)=0,INDEX(RR!BL:BL,INT((ROW()-ROW($I$12))/3)+9),"")</f>
        <v>78</v>
      </c>
      <c r="S78" s="73" t="e">
        <f t="array" ref="S78">IF(MOD(ROW()-ROW($I$12),3)=0,INDEX(RR!BP:BP,INT((ROW()-ROW($I$12))/3)+9),"")</f>
        <v>#DIV/0!</v>
      </c>
      <c r="T78" s="73" t="e">
        <f t="array" ref="T78">IF(MOD(ROW()-ROW($I$12),3)=0,INDEX(RR!BT:BT,INT((ROW()-ROW($I$12))/3)+9),"")</f>
        <v>#DIV/0!</v>
      </c>
      <c r="U78" s="73">
        <f t="array" ref="U78">IF(MOD(ROW()-ROW($I$12),3)=0,INDEX(RR!BV:BV,INT((ROW()-ROW($I$12))/3)+9),"")</f>
        <v>0</v>
      </c>
      <c r="V78" s="73" t="e">
        <f t="array" ref="V78">IF(MOD(ROW()-ROW($I$12),3)=0,INDEX(RR!BZ:BZ,INT((ROW()-ROW($I$12))/3)+9),"")</f>
        <v>#DIV/0!</v>
      </c>
      <c r="W78" s="73" t="e">
        <f t="shared" ref="W78:W79" si="67">IF(MOD(ROW()-ROW($W$12),3)&lt;&gt;2,SUM(G78:V78),"")</f>
        <v>#DIV/0!</v>
      </c>
      <c r="X78" s="73" t="e">
        <f>IF(MOD(ROW()-ROW($X$12),3)&lt;&gt;2,ROUND(W78/16,2),"")</f>
        <v>#DIV/0!</v>
      </c>
      <c r="Y78" s="70"/>
      <c r="Z78" s="74" t="e">
        <f t="array" ref="Z78">IF(MOD(ROW()-ROW($Z$12),3)=0,IF(INDEX(X:X,ROW()+2)&gt;=$AC$9,"L","TL"),"")</f>
        <v>#DIV/0!</v>
      </c>
      <c r="AA78" s="56"/>
      <c r="AB78" s="56"/>
      <c r="AC78" s="56"/>
      <c r="AD78" s="56"/>
      <c r="AE78" s="56"/>
    </row>
    <row r="79" spans="1:31" ht="14.5">
      <c r="A79" s="70" t="str">
        <f t="shared" si="66"/>
        <v/>
      </c>
      <c r="B79" s="70" t="str">
        <f t="array" ref="B79">IF(MOD(ROW()-ROW($B$12),3)=0,INDEX(BIODATA!B:B,INT((ROW()-ROW($B$12))/3)+24),"")</f>
        <v/>
      </c>
      <c r="C79" s="70"/>
      <c r="D79" s="71"/>
      <c r="E79" s="70"/>
      <c r="F79" s="72" t="s">
        <v>105</v>
      </c>
      <c r="G79" s="73">
        <f t="array" ref="G79">IF(MOD(ROW()-ROW($G$12),3)=1,INDEX(PSAJ!F:F,INT((ROW()-ROW($G$12))/3)+8),"")</f>
        <v>0</v>
      </c>
      <c r="H79" s="73">
        <f t="array" ref="H79">IF(MOD(ROW()-ROW($G$12),3)=1,INDEX(PSAJ!G:G,INT((ROW()-ROW($G$12))/3)+8),"")</f>
        <v>0</v>
      </c>
      <c r="I79" s="73">
        <f t="array" ref="I79">IF(MOD(ROW()-ROW($G$12),3)=1,INDEX(PSAJ!H:H,INT((ROW()-ROW($G$12))/3)+8),"")</f>
        <v>0</v>
      </c>
      <c r="J79" s="73">
        <f t="array" ref="J79">IF(MOD(ROW()-ROW($G$12),3)=1,INDEX(PSAJ!I:I,INT((ROW()-ROW($G$12))/3)+8),"")</f>
        <v>0</v>
      </c>
      <c r="K79" s="73">
        <f t="array" ref="K79">IF(MOD(ROW()-ROW($G$12),3)=1,INDEX(PSAJ!J:J,INT((ROW()-ROW($G$12))/3)+8),"")</f>
        <v>0</v>
      </c>
      <c r="L79" s="73">
        <f t="array" ref="L79">IF(MOD(ROW()-ROW($G$12),3)=1,INDEX(PSAJ!K:K,INT((ROW()-ROW($G$12))/3)+8),"")</f>
        <v>0</v>
      </c>
      <c r="M79" s="73">
        <f t="array" ref="M79">IF(MOD(ROW()-ROW($G$12),3)=1,INDEX(PSAJ!L:L,INT((ROW()-ROW($G$12))/3)+8),"")</f>
        <v>0</v>
      </c>
      <c r="N79" s="73">
        <f t="array" ref="N79">IF(MOD(ROW()-ROW($G$12),3)=1,INDEX(PSAJ!M:M,INT((ROW()-ROW($G$12))/3)+8),"")</f>
        <v>0</v>
      </c>
      <c r="O79" s="73">
        <f t="array" ref="O79">IF(MOD(ROW()-ROW($G$12),3)=1,INDEX(PSAJ!N:N,INT((ROW()-ROW($G$12))/3)+8),"")</f>
        <v>0</v>
      </c>
      <c r="P79" s="73">
        <f t="array" ref="P79">IF(MOD(ROW()-ROW($G$12),3)=1,INDEX(PSAJ!O:O,INT((ROW()-ROW($G$12))/3)+8),"")</f>
        <v>0</v>
      </c>
      <c r="Q79" s="73">
        <f t="array" ref="Q79">IF(MOD(ROW()-ROW($G$12),3)=1,INDEX(PSAJ!P:P,INT((ROW()-ROW($G$12))/3)+8),"")</f>
        <v>0</v>
      </c>
      <c r="R79" s="73">
        <f t="array" ref="R79">IF(MOD(ROW()-ROW($G$12),3)=1,INDEX(PSAJ!Q:Q,INT((ROW()-ROW($G$12))/3)+8),"")</f>
        <v>0</v>
      </c>
      <c r="S79" s="73">
        <f t="array" ref="S79">IF(MOD(ROW()-ROW($G$12),3)=1,INDEX(PSAJ!R:R,INT((ROW()-ROW($G$12))/3)+8),"")</f>
        <v>0</v>
      </c>
      <c r="T79" s="73">
        <f t="array" ref="T79">IF(MOD(ROW()-ROW($G$12),3)=1,INDEX(PSAJ!S:S,INT((ROW()-ROW($G$12))/3)+8),"")</f>
        <v>0</v>
      </c>
      <c r="U79" s="73">
        <v>0</v>
      </c>
      <c r="V79" s="73">
        <f t="array" ref="V79">IF(MOD(ROW()-ROW($G$12),3)=1,INDEX(PSAJ!T:T,INT((ROW()-ROW($G$12))/3)+8),"")</f>
        <v>0</v>
      </c>
      <c r="W79" s="73">
        <f t="shared" si="67"/>
        <v>0</v>
      </c>
      <c r="X79" s="73">
        <f>IF(MOD(ROW()-ROW($X$12),3)&lt;&gt;2,ROUND(W79/15,2),"")</f>
        <v>0</v>
      </c>
      <c r="Y79" s="70"/>
      <c r="Z79" s="75"/>
      <c r="AA79" s="56"/>
      <c r="AB79" s="56"/>
      <c r="AC79" s="56"/>
      <c r="AD79" s="56"/>
      <c r="AE79" s="56"/>
    </row>
    <row r="80" spans="1:31" ht="14.5">
      <c r="A80" s="70"/>
      <c r="B80" s="70"/>
      <c r="C80" s="70"/>
      <c r="D80" s="71"/>
      <c r="E80" s="70"/>
      <c r="F80" s="76" t="s">
        <v>135</v>
      </c>
      <c r="G80" s="77">
        <f t="shared" ref="G80:T80" si="68">IF(MOD(ROW()-ROW($G$12),3)=2,((INDEX(G:G,ROW()-2)*$AC$4)+(INDEX(G:G,ROW()-1)*$AE$4))/$AD$5,"")</f>
        <v>39.5</v>
      </c>
      <c r="H80" s="77">
        <f t="shared" si="68"/>
        <v>39</v>
      </c>
      <c r="I80" s="77">
        <f t="shared" si="68"/>
        <v>40.5</v>
      </c>
      <c r="J80" s="77">
        <f t="shared" si="68"/>
        <v>43</v>
      </c>
      <c r="K80" s="77">
        <f t="shared" si="68"/>
        <v>40.5</v>
      </c>
      <c r="L80" s="77">
        <f t="shared" si="68"/>
        <v>40</v>
      </c>
      <c r="M80" s="77">
        <f t="shared" si="68"/>
        <v>39.5</v>
      </c>
      <c r="N80" s="77">
        <f t="shared" si="68"/>
        <v>40</v>
      </c>
      <c r="O80" s="77">
        <f t="shared" si="68"/>
        <v>0</v>
      </c>
      <c r="P80" s="77">
        <f t="shared" si="68"/>
        <v>39</v>
      </c>
      <c r="Q80" s="77">
        <f t="shared" si="68"/>
        <v>40</v>
      </c>
      <c r="R80" s="77">
        <f t="shared" si="68"/>
        <v>39</v>
      </c>
      <c r="S80" s="77" t="e">
        <f t="shared" si="68"/>
        <v>#DIV/0!</v>
      </c>
      <c r="T80" s="77" t="e">
        <f t="shared" si="68"/>
        <v>#DIV/0!</v>
      </c>
      <c r="U80" s="77">
        <f t="array" ref="U80">IF(MOD(ROW()-ROW($U$12),3)=2,N(INDEX(U:U,ROW()-2)),0)</f>
        <v>0</v>
      </c>
      <c r="V80" s="77" t="e">
        <f>IF(MOD(ROW()-ROW($G$12),3)=2,((INDEX(V:V,ROW()-2)*$AC$4)+(INDEX(V:V,ROW()-1)*$AE$4))/$AD$5,"")</f>
        <v>#DIV/0!</v>
      </c>
      <c r="W80" s="77" t="e">
        <f>IF(MOD(ROW()-ROW($G$12),3)=2,((INDEX(W:W,ROW()-2)*$AC$4)+(INDEX(W:W,ROW()-1)*$AE$4))/$AD$5,"")</f>
        <v>#DIV/0!</v>
      </c>
      <c r="X80" s="77" t="e">
        <f>IF(MOD(ROW()-ROW($G$12),3)=2,((INDEX(X:X,ROW()-2)*$AC$4)+(INDEX(X:X,ROW()-1)*$AE$4))/$AD$5,"")</f>
        <v>#DIV/0!</v>
      </c>
      <c r="Y80" s="78"/>
      <c r="Z80" s="77"/>
      <c r="AA80" s="56"/>
      <c r="AB80" s="56"/>
      <c r="AC80" s="56"/>
      <c r="AD80" s="56"/>
      <c r="AE80" s="56"/>
    </row>
    <row r="81" spans="1:31" ht="14.5">
      <c r="A81" s="70">
        <f t="shared" ref="A81:A82" si="69">IF(MOD(ROW()-12,3)=0,INT((ROW()-12)/3)+1,"")</f>
        <v>24</v>
      </c>
      <c r="B81" s="70">
        <f t="array" ref="B81">IF(MOD(ROW()-ROW($B$12),3)=0,INDEX(BIODATA!B:B,INT((ROW()-ROW($B$12))/3)+24),"")</f>
        <v>0</v>
      </c>
      <c r="C81" s="70">
        <f t="array" ref="C81">IF(MOD(ROW()-ROW($B$12),3)=0,INDEX(BIODATA!C:C,INT((ROW()-ROW($B$12))/3)+24),"")</f>
        <v>0</v>
      </c>
      <c r="D81" s="71" t="str">
        <f t="array" ref="D81">IF(MOD(ROW()-ROW($B$12),3)=0,INDEX(BIODATA!D:D,INT((ROW()-ROW($B$12))/3)+24),"")</f>
        <v>RAFA ARDIANSYAH</v>
      </c>
      <c r="E81" s="70" t="str">
        <f t="array" ref="E81">IF(MOD(ROW()-ROW($B$12),3)=0,INDEX(BIODATA!H:H,INT((ROW()-ROW($B$12))/3)+24),"")</f>
        <v>L</v>
      </c>
      <c r="F81" s="72" t="s">
        <v>134</v>
      </c>
      <c r="G81" s="73">
        <f t="array" ref="G81">IF(MOD(ROW()-ROW($G$12),3)=0,INDEX(RR!L:L,INT((ROW()-ROW($G$12))/3)+9),"")</f>
        <v>88</v>
      </c>
      <c r="H81" s="73">
        <f t="array" ref="H81">IF(MOD(ROW()-ROW($H$12),3)=0,INDEX(RR!R:R,INT((ROW()-ROW($H$12))/3)+9),"")</f>
        <v>78</v>
      </c>
      <c r="I81" s="73">
        <f t="array" ref="I81">IF(MOD(ROW()-ROW($I$12),3)=0,INDEX(RR!X:X,INT((ROW()-ROW($I$12))/3)+9),"")</f>
        <v>82</v>
      </c>
      <c r="J81" s="73">
        <f t="array" ref="J81">IF(MOD(ROW()-ROW($I$12),3)=0,INDEX(RR!AC:AC,INT((ROW()-ROW($I$12))/3)+9),"")</f>
        <v>87</v>
      </c>
      <c r="K81" s="73">
        <f t="array" ref="K81">IF(MOD(ROW()-ROW($I$12),3)=0,INDEX(RR!AH:AH,INT((ROW()-ROW($I$12))/3)+9),"")</f>
        <v>90</v>
      </c>
      <c r="L81" s="73">
        <f t="array" ref="L81">IF(MOD(ROW()-ROW($I$12),3)=0,INDEX(RR!AK:AK,INT((ROW()-ROW($I$12))/3)+9),"")</f>
        <v>80</v>
      </c>
      <c r="M81" s="73">
        <f t="array" ref="M81">IF(MOD(ROW()-ROW($I$12),3)=0,INDEX(RR!AQ:AQ,INT((ROW()-ROW($I$12))/3)+9),"")</f>
        <v>88</v>
      </c>
      <c r="N81" s="73">
        <f t="array" ref="N81">IF(MOD(ROW()-ROW($I$12),3)=0,INDEX(RR!AW:AW,INT((ROW()-ROW($I$12))/3)+9),"")</f>
        <v>80</v>
      </c>
      <c r="O81" s="73">
        <f t="array" ref="O81">IF(MOD(ROW()-ROW($I$12),3)=0,INDEX(RR!BB:BB,INT((ROW()-ROW($I$12))/3)+9),"")</f>
        <v>0</v>
      </c>
      <c r="P81" s="73">
        <f t="array" ref="P81">IF(MOD(ROW()-ROW($I$12),3)=0,INDEX(RR!BF:BF,INT((ROW()-ROW($I$12))/3)+9),"")</f>
        <v>78</v>
      </c>
      <c r="Q81" s="73">
        <f t="array" ref="Q81">IF(MOD(ROW()-ROW($I$12),3)=0,INDEX(RR!BI:BI,INT((ROW()-ROW($I$12))/3)+9),"")</f>
        <v>81</v>
      </c>
      <c r="R81" s="73">
        <f t="array" ref="R81">IF(MOD(ROW()-ROW($I$12),3)=0,INDEX(RR!BL:BL,INT((ROW()-ROW($I$12))/3)+9),"")</f>
        <v>78</v>
      </c>
      <c r="S81" s="73" t="e">
        <f t="array" ref="S81">IF(MOD(ROW()-ROW($I$12),3)=0,INDEX(RR!BP:BP,INT((ROW()-ROW($I$12))/3)+9),"")</f>
        <v>#DIV/0!</v>
      </c>
      <c r="T81" s="73" t="e">
        <f t="array" ref="T81">IF(MOD(ROW()-ROW($I$12),3)=0,INDEX(RR!BT:BT,INT((ROW()-ROW($I$12))/3)+9),"")</f>
        <v>#DIV/0!</v>
      </c>
      <c r="U81" s="73">
        <f t="array" ref="U81">IF(MOD(ROW()-ROW($I$12),3)=0,INDEX(RR!BV:BV,INT((ROW()-ROW($I$12))/3)+9),"")</f>
        <v>0</v>
      </c>
      <c r="V81" s="73" t="e">
        <f t="array" ref="V81">IF(MOD(ROW()-ROW($I$12),3)=0,INDEX(RR!BZ:BZ,INT((ROW()-ROW($I$12))/3)+9),"")</f>
        <v>#DIV/0!</v>
      </c>
      <c r="W81" s="73" t="e">
        <f t="shared" ref="W81:W82" si="70">IF(MOD(ROW()-ROW($W$12),3)&lt;&gt;2,SUM(G81:V81),"")</f>
        <v>#DIV/0!</v>
      </c>
      <c r="X81" s="73" t="e">
        <f>IF(MOD(ROW()-ROW($X$12),3)&lt;&gt;2,ROUND(W81/16,2),"")</f>
        <v>#DIV/0!</v>
      </c>
      <c r="Y81" s="70"/>
      <c r="Z81" s="74" t="e">
        <f t="array" ref="Z81">IF(MOD(ROW()-ROW($Z$12),3)=0,IF(INDEX(X:X,ROW()+2)&gt;=$AC$9,"L","TL"),"")</f>
        <v>#DIV/0!</v>
      </c>
      <c r="AA81" s="56"/>
      <c r="AB81" s="56"/>
      <c r="AC81" s="56"/>
      <c r="AD81" s="56"/>
      <c r="AE81" s="56"/>
    </row>
    <row r="82" spans="1:31" ht="14.5">
      <c r="A82" s="70" t="str">
        <f t="shared" si="69"/>
        <v/>
      </c>
      <c r="B82" s="70" t="str">
        <f t="array" ref="B82">IF(MOD(ROW()-ROW($B$12),3)=0,INDEX(BIODATA!B:B,INT((ROW()-ROW($B$12))/3)+24),"")</f>
        <v/>
      </c>
      <c r="C82" s="70"/>
      <c r="D82" s="71"/>
      <c r="E82" s="70"/>
      <c r="F82" s="72" t="s">
        <v>105</v>
      </c>
      <c r="G82" s="73">
        <f t="array" ref="G82">IF(MOD(ROW()-ROW($G$12),3)=1,INDEX(PSAJ!F:F,INT((ROW()-ROW($G$12))/3)+8),"")</f>
        <v>0</v>
      </c>
      <c r="H82" s="73">
        <f t="array" ref="H82">IF(MOD(ROW()-ROW($G$12),3)=1,INDEX(PSAJ!G:G,INT((ROW()-ROW($G$12))/3)+8),"")</f>
        <v>0</v>
      </c>
      <c r="I82" s="73">
        <f t="array" ref="I82">IF(MOD(ROW()-ROW($G$12),3)=1,INDEX(PSAJ!H:H,INT((ROW()-ROW($G$12))/3)+8),"")</f>
        <v>0</v>
      </c>
      <c r="J82" s="73">
        <f t="array" ref="J82">IF(MOD(ROW()-ROW($G$12),3)=1,INDEX(PSAJ!I:I,INT((ROW()-ROW($G$12))/3)+8),"")</f>
        <v>0</v>
      </c>
      <c r="K82" s="73">
        <f t="array" ref="K82">IF(MOD(ROW()-ROW($G$12),3)=1,INDEX(PSAJ!J:J,INT((ROW()-ROW($G$12))/3)+8),"")</f>
        <v>0</v>
      </c>
      <c r="L82" s="73">
        <f t="array" ref="L82">IF(MOD(ROW()-ROW($G$12),3)=1,INDEX(PSAJ!K:K,INT((ROW()-ROW($G$12))/3)+8),"")</f>
        <v>0</v>
      </c>
      <c r="M82" s="73">
        <f t="array" ref="M82">IF(MOD(ROW()-ROW($G$12),3)=1,INDEX(PSAJ!L:L,INT((ROW()-ROW($G$12))/3)+8),"")</f>
        <v>0</v>
      </c>
      <c r="N82" s="73">
        <f t="array" ref="N82">IF(MOD(ROW()-ROW($G$12),3)=1,INDEX(PSAJ!M:M,INT((ROW()-ROW($G$12))/3)+8),"")</f>
        <v>0</v>
      </c>
      <c r="O82" s="73">
        <f t="array" ref="O82">IF(MOD(ROW()-ROW($G$12),3)=1,INDEX(PSAJ!N:N,INT((ROW()-ROW($G$12))/3)+8),"")</f>
        <v>0</v>
      </c>
      <c r="P82" s="73">
        <f t="array" ref="P82">IF(MOD(ROW()-ROW($G$12),3)=1,INDEX(PSAJ!O:O,INT((ROW()-ROW($G$12))/3)+8),"")</f>
        <v>0</v>
      </c>
      <c r="Q82" s="73">
        <f t="array" ref="Q82">IF(MOD(ROW()-ROW($G$12),3)=1,INDEX(PSAJ!P:P,INT((ROW()-ROW($G$12))/3)+8),"")</f>
        <v>0</v>
      </c>
      <c r="R82" s="73">
        <f t="array" ref="R82">IF(MOD(ROW()-ROW($G$12),3)=1,INDEX(PSAJ!Q:Q,INT((ROW()-ROW($G$12))/3)+8),"")</f>
        <v>0</v>
      </c>
      <c r="S82" s="73">
        <f t="array" ref="S82">IF(MOD(ROW()-ROW($G$12),3)=1,INDEX(PSAJ!R:R,INT((ROW()-ROW($G$12))/3)+8),"")</f>
        <v>0</v>
      </c>
      <c r="T82" s="73">
        <f t="array" ref="T82">IF(MOD(ROW()-ROW($G$12),3)=1,INDEX(PSAJ!S:S,INT((ROW()-ROW($G$12))/3)+8),"")</f>
        <v>0</v>
      </c>
      <c r="U82" s="73">
        <v>0</v>
      </c>
      <c r="V82" s="73">
        <f t="array" ref="V82">IF(MOD(ROW()-ROW($G$12),3)=1,INDEX(PSAJ!T:T,INT((ROW()-ROW($G$12))/3)+8),"")</f>
        <v>0</v>
      </c>
      <c r="W82" s="73">
        <f t="shared" si="70"/>
        <v>0</v>
      </c>
      <c r="X82" s="73">
        <f>IF(MOD(ROW()-ROW($X$12),3)&lt;&gt;2,ROUND(W82/15,2),"")</f>
        <v>0</v>
      </c>
      <c r="Y82" s="70"/>
      <c r="Z82" s="75"/>
      <c r="AA82" s="56"/>
      <c r="AB82" s="56"/>
      <c r="AC82" s="56"/>
      <c r="AD82" s="56"/>
      <c r="AE82" s="56"/>
    </row>
    <row r="83" spans="1:31" ht="14.5">
      <c r="A83" s="70"/>
      <c r="B83" s="70"/>
      <c r="C83" s="70"/>
      <c r="D83" s="71"/>
      <c r="E83" s="70"/>
      <c r="F83" s="76" t="s">
        <v>135</v>
      </c>
      <c r="G83" s="77">
        <f t="shared" ref="G83:T83" si="71">IF(MOD(ROW()-ROW($G$12),3)=2,((INDEX(G:G,ROW()-2)*$AC$4)+(INDEX(G:G,ROW()-1)*$AE$4))/$AD$5,"")</f>
        <v>44</v>
      </c>
      <c r="H83" s="77">
        <f t="shared" si="71"/>
        <v>39</v>
      </c>
      <c r="I83" s="77">
        <f t="shared" si="71"/>
        <v>41</v>
      </c>
      <c r="J83" s="77">
        <f t="shared" si="71"/>
        <v>43.5</v>
      </c>
      <c r="K83" s="77">
        <f t="shared" si="71"/>
        <v>45</v>
      </c>
      <c r="L83" s="77">
        <f t="shared" si="71"/>
        <v>40</v>
      </c>
      <c r="M83" s="77">
        <f t="shared" si="71"/>
        <v>44</v>
      </c>
      <c r="N83" s="77">
        <f t="shared" si="71"/>
        <v>40</v>
      </c>
      <c r="O83" s="77">
        <f t="shared" si="71"/>
        <v>0</v>
      </c>
      <c r="P83" s="77">
        <f t="shared" si="71"/>
        <v>39</v>
      </c>
      <c r="Q83" s="77">
        <f t="shared" si="71"/>
        <v>40.5</v>
      </c>
      <c r="R83" s="77">
        <f t="shared" si="71"/>
        <v>39</v>
      </c>
      <c r="S83" s="77" t="e">
        <f t="shared" si="71"/>
        <v>#DIV/0!</v>
      </c>
      <c r="T83" s="77" t="e">
        <f t="shared" si="71"/>
        <v>#DIV/0!</v>
      </c>
      <c r="U83" s="77">
        <f t="array" ref="U83">IF(MOD(ROW()-ROW($U$12),3)=2,N(INDEX(U:U,ROW()-2)),0)</f>
        <v>0</v>
      </c>
      <c r="V83" s="77" t="e">
        <f>IF(MOD(ROW()-ROW($G$12),3)=2,((INDEX(V:V,ROW()-2)*$AC$4)+(INDEX(V:V,ROW()-1)*$AE$4))/$AD$5,"")</f>
        <v>#DIV/0!</v>
      </c>
      <c r="W83" s="77" t="e">
        <f>IF(MOD(ROW()-ROW($G$12),3)=2,((INDEX(W:W,ROW()-2)*$AC$4)+(INDEX(W:W,ROW()-1)*$AE$4))/$AD$5,"")</f>
        <v>#DIV/0!</v>
      </c>
      <c r="X83" s="77" t="e">
        <f>IF(MOD(ROW()-ROW($G$12),3)=2,((INDEX(X:X,ROW()-2)*$AC$4)+(INDEX(X:X,ROW()-1)*$AE$4))/$AD$5,"")</f>
        <v>#DIV/0!</v>
      </c>
      <c r="Y83" s="78"/>
      <c r="Z83" s="77"/>
      <c r="AA83" s="56"/>
      <c r="AB83" s="56"/>
      <c r="AC83" s="56"/>
      <c r="AD83" s="56"/>
      <c r="AE83" s="56"/>
    </row>
    <row r="84" spans="1:31" ht="14.5">
      <c r="A84" s="70">
        <f t="shared" ref="A84:A85" si="72">IF(MOD(ROW()-12,3)=0,INT((ROW()-12)/3)+1,"")</f>
        <v>25</v>
      </c>
      <c r="B84" s="70">
        <f t="array" ref="B84">IF(MOD(ROW()-ROW($B$12),3)=0,INDEX(BIODATA!B:B,INT((ROW()-ROW($B$12))/3)+24),"")</f>
        <v>0</v>
      </c>
      <c r="C84" s="70">
        <f t="array" ref="C84">IF(MOD(ROW()-ROW($B$12),3)=0,INDEX(BIODATA!C:C,INT((ROW()-ROW($B$12))/3)+24),"")</f>
        <v>0</v>
      </c>
      <c r="D84" s="71" t="str">
        <f t="array" ref="D84">IF(MOD(ROW()-ROW($B$12),3)=0,INDEX(BIODATA!D:D,INT((ROW()-ROW($B$12))/3)+24),"")</f>
        <v>RAGIL ROSYID NUR RIDHO</v>
      </c>
      <c r="E84" s="70" t="str">
        <f t="array" ref="E84">IF(MOD(ROW()-ROW($B$12),3)=0,INDEX(BIODATA!H:H,INT((ROW()-ROW($B$12))/3)+24),"")</f>
        <v>L</v>
      </c>
      <c r="F84" s="72" t="s">
        <v>134</v>
      </c>
      <c r="G84" s="73">
        <f t="array" ref="G84">IF(MOD(ROW()-ROW($G$12),3)=0,INDEX(RR!L:L,INT((ROW()-ROW($G$12))/3)+9),"")</f>
        <v>90</v>
      </c>
      <c r="H84" s="73">
        <f t="array" ref="H84">IF(MOD(ROW()-ROW($H$12),3)=0,INDEX(RR!R:R,INT((ROW()-ROW($H$12))/3)+9),"")</f>
        <v>78</v>
      </c>
      <c r="I84" s="73">
        <f t="array" ref="I84">IF(MOD(ROW()-ROW($I$12),3)=0,INDEX(RR!X:X,INT((ROW()-ROW($I$12))/3)+9),"")</f>
        <v>80</v>
      </c>
      <c r="J84" s="73">
        <f t="array" ref="J84">IF(MOD(ROW()-ROW($I$12),3)=0,INDEX(RR!AC:AC,INT((ROW()-ROW($I$12))/3)+9),"")</f>
        <v>89</v>
      </c>
      <c r="K84" s="73">
        <f t="array" ref="K84">IF(MOD(ROW()-ROW($I$12),3)=0,INDEX(RR!AH:AH,INT((ROW()-ROW($I$12))/3)+9),"")</f>
        <v>92</v>
      </c>
      <c r="L84" s="73">
        <f t="array" ref="L84">IF(MOD(ROW()-ROW($I$12),3)=0,INDEX(RR!AK:AK,INT((ROW()-ROW($I$12))/3)+9),"")</f>
        <v>90</v>
      </c>
      <c r="M84" s="73">
        <f t="array" ref="M84">IF(MOD(ROW()-ROW($I$12),3)=0,INDEX(RR!AQ:AQ,INT((ROW()-ROW($I$12))/3)+9),"")</f>
        <v>90</v>
      </c>
      <c r="N84" s="73">
        <f t="array" ref="N84">IF(MOD(ROW()-ROW($I$12),3)=0,INDEX(RR!AW:AW,INT((ROW()-ROW($I$12))/3)+9),"")</f>
        <v>80</v>
      </c>
      <c r="O84" s="73">
        <f t="array" ref="O84">IF(MOD(ROW()-ROW($I$12),3)=0,INDEX(RR!BB:BB,INT((ROW()-ROW($I$12))/3)+9),"")</f>
        <v>0</v>
      </c>
      <c r="P84" s="73">
        <f t="array" ref="P84">IF(MOD(ROW()-ROW($I$12),3)=0,INDEX(RR!BF:BF,INT((ROW()-ROW($I$12))/3)+9),"")</f>
        <v>78</v>
      </c>
      <c r="Q84" s="73">
        <f t="array" ref="Q84">IF(MOD(ROW()-ROW($I$12),3)=0,INDEX(RR!BI:BI,INT((ROW()-ROW($I$12))/3)+9),"")</f>
        <v>80</v>
      </c>
      <c r="R84" s="73">
        <f t="array" ref="R84">IF(MOD(ROW()-ROW($I$12),3)=0,INDEX(RR!BL:BL,INT((ROW()-ROW($I$12))/3)+9),"")</f>
        <v>78</v>
      </c>
      <c r="S84" s="73" t="e">
        <f t="array" ref="S84">IF(MOD(ROW()-ROW($I$12),3)=0,INDEX(RR!BP:BP,INT((ROW()-ROW($I$12))/3)+9),"")</f>
        <v>#DIV/0!</v>
      </c>
      <c r="T84" s="73" t="e">
        <f t="array" ref="T84">IF(MOD(ROW()-ROW($I$12),3)=0,INDEX(RR!BT:BT,INT((ROW()-ROW($I$12))/3)+9),"")</f>
        <v>#DIV/0!</v>
      </c>
      <c r="U84" s="73">
        <f t="array" ref="U84">IF(MOD(ROW()-ROW($I$12),3)=0,INDEX(RR!BV:BV,INT((ROW()-ROW($I$12))/3)+9),"")</f>
        <v>0</v>
      </c>
      <c r="V84" s="73" t="e">
        <f t="array" ref="V84">IF(MOD(ROW()-ROW($I$12),3)=0,INDEX(RR!BZ:BZ,INT((ROW()-ROW($I$12))/3)+9),"")</f>
        <v>#DIV/0!</v>
      </c>
      <c r="W84" s="73" t="e">
        <f t="shared" ref="W84:W85" si="73">IF(MOD(ROW()-ROW($W$12),3)&lt;&gt;2,SUM(G84:V84),"")</f>
        <v>#DIV/0!</v>
      </c>
      <c r="X84" s="73" t="e">
        <f>IF(MOD(ROW()-ROW($X$12),3)&lt;&gt;2,ROUND(W84/16,2),"")</f>
        <v>#DIV/0!</v>
      </c>
      <c r="Y84" s="70"/>
      <c r="Z84" s="74" t="e">
        <f t="array" ref="Z84">IF(MOD(ROW()-ROW($Z$12),3)=0,IF(INDEX(X:X,ROW()+2)&gt;=$AC$9,"L","TL"),"")</f>
        <v>#DIV/0!</v>
      </c>
      <c r="AA84" s="56"/>
      <c r="AB84" s="56"/>
      <c r="AC84" s="56"/>
      <c r="AD84" s="56"/>
      <c r="AE84" s="56"/>
    </row>
    <row r="85" spans="1:31" ht="14.5">
      <c r="A85" s="70" t="str">
        <f t="shared" si="72"/>
        <v/>
      </c>
      <c r="B85" s="70" t="str">
        <f t="array" ref="B85">IF(MOD(ROW()-ROW($B$12),3)=0,INDEX(BIODATA!B:B,INT((ROW()-ROW($B$12))/3)+24),"")</f>
        <v/>
      </c>
      <c r="C85" s="70"/>
      <c r="D85" s="71"/>
      <c r="E85" s="70"/>
      <c r="F85" s="72" t="s">
        <v>105</v>
      </c>
      <c r="G85" s="73">
        <f t="array" ref="G85">IF(MOD(ROW()-ROW($G$12),3)=1,INDEX(PSAJ!F:F,INT((ROW()-ROW($G$12))/3)+8),"")</f>
        <v>0</v>
      </c>
      <c r="H85" s="73">
        <f t="array" ref="H85">IF(MOD(ROW()-ROW($G$12),3)=1,INDEX(PSAJ!G:G,INT((ROW()-ROW($G$12))/3)+8),"")</f>
        <v>0</v>
      </c>
      <c r="I85" s="73">
        <f t="array" ref="I85">IF(MOD(ROW()-ROW($G$12),3)=1,INDEX(PSAJ!H:H,INT((ROW()-ROW($G$12))/3)+8),"")</f>
        <v>0</v>
      </c>
      <c r="J85" s="73">
        <f t="array" ref="J85">IF(MOD(ROW()-ROW($G$12),3)=1,INDEX(PSAJ!I:I,INT((ROW()-ROW($G$12))/3)+8),"")</f>
        <v>0</v>
      </c>
      <c r="K85" s="73">
        <f t="array" ref="K85">IF(MOD(ROW()-ROW($G$12),3)=1,INDEX(PSAJ!J:J,INT((ROW()-ROW($G$12))/3)+8),"")</f>
        <v>0</v>
      </c>
      <c r="L85" s="73">
        <f t="array" ref="L85">IF(MOD(ROW()-ROW($G$12),3)=1,INDEX(PSAJ!K:K,INT((ROW()-ROW($G$12))/3)+8),"")</f>
        <v>0</v>
      </c>
      <c r="M85" s="73">
        <f t="array" ref="M85">IF(MOD(ROW()-ROW($G$12),3)=1,INDEX(PSAJ!L:L,INT((ROW()-ROW($G$12))/3)+8),"")</f>
        <v>0</v>
      </c>
      <c r="N85" s="73">
        <f t="array" ref="N85">IF(MOD(ROW()-ROW($G$12),3)=1,INDEX(PSAJ!M:M,INT((ROW()-ROW($G$12))/3)+8),"")</f>
        <v>0</v>
      </c>
      <c r="O85" s="73">
        <f t="array" ref="O85">IF(MOD(ROW()-ROW($G$12),3)=1,INDEX(PSAJ!N:N,INT((ROW()-ROW($G$12))/3)+8),"")</f>
        <v>0</v>
      </c>
      <c r="P85" s="73">
        <f t="array" ref="P85">IF(MOD(ROW()-ROW($G$12),3)=1,INDEX(PSAJ!O:O,INT((ROW()-ROW($G$12))/3)+8),"")</f>
        <v>0</v>
      </c>
      <c r="Q85" s="73">
        <f t="array" ref="Q85">IF(MOD(ROW()-ROW($G$12),3)=1,INDEX(PSAJ!P:P,INT((ROW()-ROW($G$12))/3)+8),"")</f>
        <v>0</v>
      </c>
      <c r="R85" s="73">
        <f t="array" ref="R85">IF(MOD(ROW()-ROW($G$12),3)=1,INDEX(PSAJ!Q:Q,INT((ROW()-ROW($G$12))/3)+8),"")</f>
        <v>0</v>
      </c>
      <c r="S85" s="73">
        <f t="array" ref="S85">IF(MOD(ROW()-ROW($G$12),3)=1,INDEX(PSAJ!R:R,INT((ROW()-ROW($G$12))/3)+8),"")</f>
        <v>0</v>
      </c>
      <c r="T85" s="73">
        <f t="array" ref="T85">IF(MOD(ROW()-ROW($G$12),3)=1,INDEX(PSAJ!S:S,INT((ROW()-ROW($G$12))/3)+8),"")</f>
        <v>0</v>
      </c>
      <c r="U85" s="73">
        <v>0</v>
      </c>
      <c r="V85" s="73">
        <f t="array" ref="V85">IF(MOD(ROW()-ROW($G$12),3)=1,INDEX(PSAJ!T:T,INT((ROW()-ROW($G$12))/3)+8),"")</f>
        <v>0</v>
      </c>
      <c r="W85" s="73">
        <f t="shared" si="73"/>
        <v>0</v>
      </c>
      <c r="X85" s="73">
        <f>IF(MOD(ROW()-ROW($X$12),3)&lt;&gt;2,ROUND(W85/15,2),"")</f>
        <v>0</v>
      </c>
      <c r="Y85" s="70"/>
      <c r="Z85" s="75"/>
      <c r="AA85" s="56"/>
      <c r="AB85" s="56"/>
      <c r="AC85" s="56"/>
      <c r="AD85" s="56"/>
      <c r="AE85" s="56"/>
    </row>
    <row r="86" spans="1:31" ht="14.5">
      <c r="A86" s="70"/>
      <c r="B86" s="70"/>
      <c r="C86" s="70"/>
      <c r="D86" s="71"/>
      <c r="E86" s="70"/>
      <c r="F86" s="76" t="s">
        <v>135</v>
      </c>
      <c r="G86" s="77">
        <f t="shared" ref="G86:T86" si="74">IF(MOD(ROW()-ROW($G$12),3)=2,((INDEX(G:G,ROW()-2)*$AC$4)+(INDEX(G:G,ROW()-1)*$AE$4))/$AD$5,"")</f>
        <v>45</v>
      </c>
      <c r="H86" s="77">
        <f t="shared" si="74"/>
        <v>39</v>
      </c>
      <c r="I86" s="77">
        <f t="shared" si="74"/>
        <v>40</v>
      </c>
      <c r="J86" s="77">
        <f t="shared" si="74"/>
        <v>44.5</v>
      </c>
      <c r="K86" s="77">
        <f t="shared" si="74"/>
        <v>46</v>
      </c>
      <c r="L86" s="77">
        <f t="shared" si="74"/>
        <v>45</v>
      </c>
      <c r="M86" s="77">
        <f t="shared" si="74"/>
        <v>45</v>
      </c>
      <c r="N86" s="77">
        <f t="shared" si="74"/>
        <v>40</v>
      </c>
      <c r="O86" s="77">
        <f t="shared" si="74"/>
        <v>0</v>
      </c>
      <c r="P86" s="77">
        <f t="shared" si="74"/>
        <v>39</v>
      </c>
      <c r="Q86" s="77">
        <f t="shared" si="74"/>
        <v>40</v>
      </c>
      <c r="R86" s="77">
        <f t="shared" si="74"/>
        <v>39</v>
      </c>
      <c r="S86" s="77" t="e">
        <f t="shared" si="74"/>
        <v>#DIV/0!</v>
      </c>
      <c r="T86" s="77" t="e">
        <f t="shared" si="74"/>
        <v>#DIV/0!</v>
      </c>
      <c r="U86" s="77">
        <f t="array" ref="U86">IF(MOD(ROW()-ROW($U$12),3)=2,N(INDEX(U:U,ROW()-2)),0)</f>
        <v>0</v>
      </c>
      <c r="V86" s="77" t="e">
        <f>IF(MOD(ROW()-ROW($G$12),3)=2,((INDEX(V:V,ROW()-2)*$AC$4)+(INDEX(V:V,ROW()-1)*$AE$4))/$AD$5,"")</f>
        <v>#DIV/0!</v>
      </c>
      <c r="W86" s="77" t="e">
        <f>IF(MOD(ROW()-ROW($G$12),3)=2,((INDEX(W:W,ROW()-2)*$AC$4)+(INDEX(W:W,ROW()-1)*$AE$4))/$AD$5,"")</f>
        <v>#DIV/0!</v>
      </c>
      <c r="X86" s="77" t="e">
        <f>IF(MOD(ROW()-ROW($G$12),3)=2,((INDEX(X:X,ROW()-2)*$AC$4)+(INDEX(X:X,ROW()-1)*$AE$4))/$AD$5,"")</f>
        <v>#DIV/0!</v>
      </c>
      <c r="Y86" s="78"/>
      <c r="Z86" s="77"/>
      <c r="AA86" s="56"/>
      <c r="AB86" s="56"/>
      <c r="AC86" s="56"/>
      <c r="AD86" s="56"/>
      <c r="AE86" s="56"/>
    </row>
    <row r="87" spans="1:31" ht="14.5">
      <c r="A87" s="70">
        <f t="shared" ref="A87:A88" si="75">IF(MOD(ROW()-12,3)=0,INT((ROW()-12)/3)+1,"")</f>
        <v>26</v>
      </c>
      <c r="B87" s="70">
        <f t="array" ref="B87">IF(MOD(ROW()-ROW($B$12),3)=0,INDEX(BIODATA!B:B,INT((ROW()-ROW($B$12))/3)+24),"")</f>
        <v>0</v>
      </c>
      <c r="C87" s="70">
        <f t="array" ref="C87">IF(MOD(ROW()-ROW($B$12),3)=0,INDEX(BIODATA!C:C,INT((ROW()-ROW($B$12))/3)+24),"")</f>
        <v>0</v>
      </c>
      <c r="D87" s="71" t="str">
        <f t="array" ref="D87">IF(MOD(ROW()-ROW($B$12),3)=0,INDEX(BIODATA!D:D,INT((ROW()-ROW($B$12))/3)+24),"")</f>
        <v>RANGGA SAHPUTRA ADI PRATAMA</v>
      </c>
      <c r="E87" s="70" t="str">
        <f t="array" ref="E87">IF(MOD(ROW()-ROW($B$12),3)=0,INDEX(BIODATA!H:H,INT((ROW()-ROW($B$12))/3)+24),"")</f>
        <v>L</v>
      </c>
      <c r="F87" s="72" t="s">
        <v>134</v>
      </c>
      <c r="G87" s="73">
        <f t="array" ref="G87">IF(MOD(ROW()-ROW($G$12),3)=0,INDEX(RR!L:L,INT((ROW()-ROW($G$12))/3)+9),"")</f>
        <v>83</v>
      </c>
      <c r="H87" s="73">
        <f t="array" ref="H87">IF(MOD(ROW()-ROW($H$12),3)=0,INDEX(RR!R:R,INT((ROW()-ROW($H$12))/3)+9),"")</f>
        <v>89</v>
      </c>
      <c r="I87" s="73">
        <f t="array" ref="I87">IF(MOD(ROW()-ROW($I$12),3)=0,INDEX(RR!X:X,INT((ROW()-ROW($I$12))/3)+9),"")</f>
        <v>80</v>
      </c>
      <c r="J87" s="73">
        <f t="array" ref="J87">IF(MOD(ROW()-ROW($I$12),3)=0,INDEX(RR!AC:AC,INT((ROW()-ROW($I$12))/3)+9),"")</f>
        <v>88</v>
      </c>
      <c r="K87" s="73">
        <f t="array" ref="K87">IF(MOD(ROW()-ROW($I$12),3)=0,INDEX(RR!AH:AH,INT((ROW()-ROW($I$12))/3)+9),"")</f>
        <v>85</v>
      </c>
      <c r="L87" s="73">
        <f t="array" ref="L87">IF(MOD(ROW()-ROW($I$12),3)=0,INDEX(RR!AK:AK,INT((ROW()-ROW($I$12))/3)+9),"")</f>
        <v>80</v>
      </c>
      <c r="M87" s="73">
        <f t="array" ref="M87">IF(MOD(ROW()-ROW($I$12),3)=0,INDEX(RR!AQ:AQ,INT((ROW()-ROW($I$12))/3)+9),"")</f>
        <v>83</v>
      </c>
      <c r="N87" s="73">
        <f t="array" ref="N87">IF(MOD(ROW()-ROW($I$12),3)=0,INDEX(RR!AW:AW,INT((ROW()-ROW($I$12))/3)+9),"")</f>
        <v>80</v>
      </c>
      <c r="O87" s="73">
        <f t="array" ref="O87">IF(MOD(ROW()-ROW($I$12),3)=0,INDEX(RR!BB:BB,INT((ROW()-ROW($I$12))/3)+9),"")</f>
        <v>0</v>
      </c>
      <c r="P87" s="73">
        <f t="array" ref="P87">IF(MOD(ROW()-ROW($I$12),3)=0,INDEX(RR!BF:BF,INT((ROW()-ROW($I$12))/3)+9),"")</f>
        <v>78</v>
      </c>
      <c r="Q87" s="73">
        <f t="array" ref="Q87">IF(MOD(ROW()-ROW($I$12),3)=0,INDEX(RR!BI:BI,INT((ROW()-ROW($I$12))/3)+9),"")</f>
        <v>80</v>
      </c>
      <c r="R87" s="73">
        <f t="array" ref="R87">IF(MOD(ROW()-ROW($I$12),3)=0,INDEX(RR!BL:BL,INT((ROW()-ROW($I$12))/3)+9),"")</f>
        <v>78</v>
      </c>
      <c r="S87" s="73" t="e">
        <f t="array" ref="S87">IF(MOD(ROW()-ROW($I$12),3)=0,INDEX(RR!BP:BP,INT((ROW()-ROW($I$12))/3)+9),"")</f>
        <v>#DIV/0!</v>
      </c>
      <c r="T87" s="73" t="e">
        <f t="array" ref="T87">IF(MOD(ROW()-ROW($I$12),3)=0,INDEX(RR!BT:BT,INT((ROW()-ROW($I$12))/3)+9),"")</f>
        <v>#DIV/0!</v>
      </c>
      <c r="U87" s="73">
        <f t="array" ref="U87">IF(MOD(ROW()-ROW($I$12),3)=0,INDEX(RR!BV:BV,INT((ROW()-ROW($I$12))/3)+9),"")</f>
        <v>0</v>
      </c>
      <c r="V87" s="73" t="e">
        <f t="array" ref="V87">IF(MOD(ROW()-ROW($I$12),3)=0,INDEX(RR!BZ:BZ,INT((ROW()-ROW($I$12))/3)+9),"")</f>
        <v>#DIV/0!</v>
      </c>
      <c r="W87" s="73" t="e">
        <f t="shared" ref="W87:W88" si="76">IF(MOD(ROW()-ROW($W$12),3)&lt;&gt;2,SUM(G87:V87),"")</f>
        <v>#DIV/0!</v>
      </c>
      <c r="X87" s="73" t="e">
        <f>IF(MOD(ROW()-ROW($X$12),3)&lt;&gt;2,ROUND(W87/16,2),"")</f>
        <v>#DIV/0!</v>
      </c>
      <c r="Y87" s="70"/>
      <c r="Z87" s="74" t="e">
        <f t="array" ref="Z87">IF(MOD(ROW()-ROW($Z$12),3)=0,IF(INDEX(X:X,ROW()+2)&gt;=$AC$9,"L","TL"),"")</f>
        <v>#DIV/0!</v>
      </c>
      <c r="AA87" s="56"/>
      <c r="AB87" s="56"/>
      <c r="AC87" s="56"/>
      <c r="AD87" s="56"/>
      <c r="AE87" s="56"/>
    </row>
    <row r="88" spans="1:31" ht="14.5">
      <c r="A88" s="70" t="str">
        <f t="shared" si="75"/>
        <v/>
      </c>
      <c r="B88" s="70" t="str">
        <f t="array" ref="B88">IF(MOD(ROW()-ROW($B$12),3)=0,INDEX(BIODATA!B:B,INT((ROW()-ROW($B$12))/3)+24),"")</f>
        <v/>
      </c>
      <c r="C88" s="70"/>
      <c r="D88" s="71"/>
      <c r="E88" s="70"/>
      <c r="F88" s="72" t="s">
        <v>105</v>
      </c>
      <c r="G88" s="73">
        <f t="array" ref="G88">IF(MOD(ROW()-ROW($G$12),3)=1,INDEX(PSAJ!F:F,INT((ROW()-ROW($G$12))/3)+8),"")</f>
        <v>0</v>
      </c>
      <c r="H88" s="73">
        <f t="array" ref="H88">IF(MOD(ROW()-ROW($G$12),3)=1,INDEX(PSAJ!G:G,INT((ROW()-ROW($G$12))/3)+8),"")</f>
        <v>0</v>
      </c>
      <c r="I88" s="73">
        <f t="array" ref="I88">IF(MOD(ROW()-ROW($G$12),3)=1,INDEX(PSAJ!H:H,INT((ROW()-ROW($G$12))/3)+8),"")</f>
        <v>0</v>
      </c>
      <c r="J88" s="73">
        <f t="array" ref="J88">IF(MOD(ROW()-ROW($G$12),3)=1,INDEX(PSAJ!I:I,INT((ROW()-ROW($G$12))/3)+8),"")</f>
        <v>0</v>
      </c>
      <c r="K88" s="73">
        <f t="array" ref="K88">IF(MOD(ROW()-ROW($G$12),3)=1,INDEX(PSAJ!J:J,INT((ROW()-ROW($G$12))/3)+8),"")</f>
        <v>0</v>
      </c>
      <c r="L88" s="73">
        <f t="array" ref="L88">IF(MOD(ROW()-ROW($G$12),3)=1,INDEX(PSAJ!K:K,INT((ROW()-ROW($G$12))/3)+8),"")</f>
        <v>0</v>
      </c>
      <c r="M88" s="73">
        <f t="array" ref="M88">IF(MOD(ROW()-ROW($G$12),3)=1,INDEX(PSAJ!L:L,INT((ROW()-ROW($G$12))/3)+8),"")</f>
        <v>0</v>
      </c>
      <c r="N88" s="73">
        <f t="array" ref="N88">IF(MOD(ROW()-ROW($G$12),3)=1,INDEX(PSAJ!M:M,INT((ROW()-ROW($G$12))/3)+8),"")</f>
        <v>0</v>
      </c>
      <c r="O88" s="73">
        <f t="array" ref="O88">IF(MOD(ROW()-ROW($G$12),3)=1,INDEX(PSAJ!N:N,INT((ROW()-ROW($G$12))/3)+8),"")</f>
        <v>0</v>
      </c>
      <c r="P88" s="73">
        <f t="array" ref="P88">IF(MOD(ROW()-ROW($G$12),3)=1,INDEX(PSAJ!O:O,INT((ROW()-ROW($G$12))/3)+8),"")</f>
        <v>0</v>
      </c>
      <c r="Q88" s="73">
        <f t="array" ref="Q88">IF(MOD(ROW()-ROW($G$12),3)=1,INDEX(PSAJ!P:P,INT((ROW()-ROW($G$12))/3)+8),"")</f>
        <v>0</v>
      </c>
      <c r="R88" s="73">
        <f t="array" ref="R88">IF(MOD(ROW()-ROW($G$12),3)=1,INDEX(PSAJ!Q:Q,INT((ROW()-ROW($G$12))/3)+8),"")</f>
        <v>0</v>
      </c>
      <c r="S88" s="73">
        <f t="array" ref="S88">IF(MOD(ROW()-ROW($G$12),3)=1,INDEX(PSAJ!R:R,INT((ROW()-ROW($G$12))/3)+8),"")</f>
        <v>0</v>
      </c>
      <c r="T88" s="73">
        <f t="array" ref="T88">IF(MOD(ROW()-ROW($G$12),3)=1,INDEX(PSAJ!S:S,INT((ROW()-ROW($G$12))/3)+8),"")</f>
        <v>0</v>
      </c>
      <c r="U88" s="73">
        <v>0</v>
      </c>
      <c r="V88" s="73">
        <f t="array" ref="V88">IF(MOD(ROW()-ROW($G$12),3)=1,INDEX(PSAJ!T:T,INT((ROW()-ROW($G$12))/3)+8),"")</f>
        <v>0</v>
      </c>
      <c r="W88" s="73">
        <f t="shared" si="76"/>
        <v>0</v>
      </c>
      <c r="X88" s="73">
        <f>IF(MOD(ROW()-ROW($X$12),3)&lt;&gt;2,ROUND(W88/15,2),"")</f>
        <v>0</v>
      </c>
      <c r="Y88" s="70"/>
      <c r="Z88" s="75"/>
      <c r="AA88" s="56"/>
      <c r="AB88" s="56"/>
      <c r="AC88" s="56"/>
      <c r="AD88" s="56"/>
      <c r="AE88" s="56"/>
    </row>
    <row r="89" spans="1:31" ht="14.5">
      <c r="A89" s="70"/>
      <c r="B89" s="70"/>
      <c r="C89" s="70"/>
      <c r="D89" s="71"/>
      <c r="E89" s="70"/>
      <c r="F89" s="76" t="s">
        <v>135</v>
      </c>
      <c r="G89" s="77">
        <f t="shared" ref="G89:T89" si="77">IF(MOD(ROW()-ROW($G$12),3)=2,((INDEX(G:G,ROW()-2)*$AC$4)+(INDEX(G:G,ROW()-1)*$AE$4))/$AD$5,"")</f>
        <v>41.5</v>
      </c>
      <c r="H89" s="77">
        <f t="shared" si="77"/>
        <v>44.5</v>
      </c>
      <c r="I89" s="77">
        <f t="shared" si="77"/>
        <v>40</v>
      </c>
      <c r="J89" s="77">
        <f t="shared" si="77"/>
        <v>44</v>
      </c>
      <c r="K89" s="77">
        <f t="shared" si="77"/>
        <v>42.5</v>
      </c>
      <c r="L89" s="77">
        <f t="shared" si="77"/>
        <v>40</v>
      </c>
      <c r="M89" s="77">
        <f t="shared" si="77"/>
        <v>41.5</v>
      </c>
      <c r="N89" s="77">
        <f t="shared" si="77"/>
        <v>40</v>
      </c>
      <c r="O89" s="77">
        <f t="shared" si="77"/>
        <v>0</v>
      </c>
      <c r="P89" s="77">
        <f t="shared" si="77"/>
        <v>39</v>
      </c>
      <c r="Q89" s="77">
        <f t="shared" si="77"/>
        <v>40</v>
      </c>
      <c r="R89" s="77">
        <f t="shared" si="77"/>
        <v>39</v>
      </c>
      <c r="S89" s="77" t="e">
        <f t="shared" si="77"/>
        <v>#DIV/0!</v>
      </c>
      <c r="T89" s="77" t="e">
        <f t="shared" si="77"/>
        <v>#DIV/0!</v>
      </c>
      <c r="U89" s="77">
        <f t="array" ref="U89">IF(MOD(ROW()-ROW($U$12),3)=2,N(INDEX(U:U,ROW()-2)),0)</f>
        <v>0</v>
      </c>
      <c r="V89" s="77" t="e">
        <f>IF(MOD(ROW()-ROW($G$12),3)=2,((INDEX(V:V,ROW()-2)*$AC$4)+(INDEX(V:V,ROW()-1)*$AE$4))/$AD$5,"")</f>
        <v>#DIV/0!</v>
      </c>
      <c r="W89" s="77" t="e">
        <f>IF(MOD(ROW()-ROW($G$12),3)=2,((INDEX(W:W,ROW()-2)*$AC$4)+(INDEX(W:W,ROW()-1)*$AE$4))/$AD$5,"")</f>
        <v>#DIV/0!</v>
      </c>
      <c r="X89" s="77" t="e">
        <f>IF(MOD(ROW()-ROW($G$12),3)=2,((INDEX(X:X,ROW()-2)*$AC$4)+(INDEX(X:X,ROW()-1)*$AE$4))/$AD$5,"")</f>
        <v>#DIV/0!</v>
      </c>
      <c r="Y89" s="78"/>
      <c r="Z89" s="77"/>
      <c r="AA89" s="56"/>
      <c r="AB89" s="56"/>
      <c r="AC89" s="56"/>
      <c r="AD89" s="56"/>
      <c r="AE89" s="56"/>
    </row>
    <row r="90" spans="1:31" ht="14.5">
      <c r="A90" s="70">
        <f t="shared" ref="A90:A91" si="78">IF(MOD(ROW()-12,3)=0,INT((ROW()-12)/3)+1,"")</f>
        <v>27</v>
      </c>
      <c r="B90" s="70">
        <f t="array" ref="B90">IF(MOD(ROW()-ROW($B$12),3)=0,INDEX(BIODATA!B:B,INT((ROW()-ROW($B$12))/3)+24),"")</f>
        <v>0</v>
      </c>
      <c r="C90" s="70">
        <f t="array" ref="C90">IF(MOD(ROW()-ROW($B$12),3)=0,INDEX(BIODATA!C:C,INT((ROW()-ROW($B$12))/3)+24),"")</f>
        <v>0</v>
      </c>
      <c r="D90" s="71" t="str">
        <f t="array" ref="D90">IF(MOD(ROW()-ROW($B$12),3)=0,INDEX(BIODATA!D:D,INT((ROW()-ROW($B$12))/3)+24),"")</f>
        <v>RIFQI AL GHIFFARI ZAIDAN ZUHDI</v>
      </c>
      <c r="E90" s="70" t="str">
        <f t="array" ref="E90">IF(MOD(ROW()-ROW($B$12),3)=0,INDEX(BIODATA!H:H,INT((ROW()-ROW($B$12))/3)+24),"")</f>
        <v>L</v>
      </c>
      <c r="F90" s="72" t="s">
        <v>134</v>
      </c>
      <c r="G90" s="73">
        <f t="array" ref="G90">IF(MOD(ROW()-ROW($G$12),3)=0,INDEX(RR!L:L,INT((ROW()-ROW($G$12))/3)+9),"")</f>
        <v>82</v>
      </c>
      <c r="H90" s="73">
        <f t="array" ref="H90">IF(MOD(ROW()-ROW($H$12),3)=0,INDEX(RR!R:R,INT((ROW()-ROW($H$12))/3)+9),"")</f>
        <v>78</v>
      </c>
      <c r="I90" s="73">
        <f t="array" ref="I90">IF(MOD(ROW()-ROW($I$12),3)=0,INDEX(RR!X:X,INT((ROW()-ROW($I$12))/3)+9),"")</f>
        <v>81</v>
      </c>
      <c r="J90" s="73">
        <f t="array" ref="J90">IF(MOD(ROW()-ROW($I$12),3)=0,INDEX(RR!AC:AC,INT((ROW()-ROW($I$12))/3)+9),"")</f>
        <v>83</v>
      </c>
      <c r="K90" s="73">
        <f t="array" ref="K90">IF(MOD(ROW()-ROW($I$12),3)=0,INDEX(RR!AH:AH,INT((ROW()-ROW($I$12))/3)+9),"")</f>
        <v>84</v>
      </c>
      <c r="L90" s="73">
        <f t="array" ref="L90">IF(MOD(ROW()-ROW($I$12),3)=0,INDEX(RR!AK:AK,INT((ROW()-ROW($I$12))/3)+9),"")</f>
        <v>80</v>
      </c>
      <c r="M90" s="73">
        <f t="array" ref="M90">IF(MOD(ROW()-ROW($I$12),3)=0,INDEX(RR!AQ:AQ,INT((ROW()-ROW($I$12))/3)+9),"")</f>
        <v>82</v>
      </c>
      <c r="N90" s="73">
        <f t="array" ref="N90">IF(MOD(ROW()-ROW($I$12),3)=0,INDEX(RR!AW:AW,INT((ROW()-ROW($I$12))/3)+9),"")</f>
        <v>79</v>
      </c>
      <c r="O90" s="73">
        <f t="array" ref="O90">IF(MOD(ROW()-ROW($I$12),3)=0,INDEX(RR!BB:BB,INT((ROW()-ROW($I$12))/3)+9),"")</f>
        <v>0</v>
      </c>
      <c r="P90" s="73">
        <f t="array" ref="P90">IF(MOD(ROW()-ROW($I$12),3)=0,INDEX(RR!BF:BF,INT((ROW()-ROW($I$12))/3)+9),"")</f>
        <v>83</v>
      </c>
      <c r="Q90" s="73">
        <f t="array" ref="Q90">IF(MOD(ROW()-ROW($I$12),3)=0,INDEX(RR!BI:BI,INT((ROW()-ROW($I$12))/3)+9),"")</f>
        <v>82</v>
      </c>
      <c r="R90" s="73">
        <f t="array" ref="R90">IF(MOD(ROW()-ROW($I$12),3)=0,INDEX(RR!BL:BL,INT((ROW()-ROW($I$12))/3)+9),"")</f>
        <v>83</v>
      </c>
      <c r="S90" s="73" t="e">
        <f t="array" ref="S90">IF(MOD(ROW()-ROW($I$12),3)=0,INDEX(RR!BP:BP,INT((ROW()-ROW($I$12))/3)+9),"")</f>
        <v>#DIV/0!</v>
      </c>
      <c r="T90" s="73" t="e">
        <f t="array" ref="T90">IF(MOD(ROW()-ROW($I$12),3)=0,INDEX(RR!BT:BT,INT((ROW()-ROW($I$12))/3)+9),"")</f>
        <v>#DIV/0!</v>
      </c>
      <c r="U90" s="73">
        <f t="array" ref="U90">IF(MOD(ROW()-ROW($I$12),3)=0,INDEX(RR!BV:BV,INT((ROW()-ROW($I$12))/3)+9),"")</f>
        <v>0</v>
      </c>
      <c r="V90" s="73" t="e">
        <f t="array" ref="V90">IF(MOD(ROW()-ROW($I$12),3)=0,INDEX(RR!BZ:BZ,INT((ROW()-ROW($I$12))/3)+9),"")</f>
        <v>#DIV/0!</v>
      </c>
      <c r="W90" s="73" t="e">
        <f t="shared" ref="W90:W91" si="79">IF(MOD(ROW()-ROW($W$12),3)&lt;&gt;2,SUM(G90:V90),"")</f>
        <v>#DIV/0!</v>
      </c>
      <c r="X90" s="73" t="e">
        <f>IF(MOD(ROW()-ROW($X$12),3)&lt;&gt;2,ROUND(W90/16,2),"")</f>
        <v>#DIV/0!</v>
      </c>
      <c r="Y90" s="70"/>
      <c r="Z90" s="74" t="e">
        <f t="array" ref="Z90">IF(MOD(ROW()-ROW($Z$12),3)=0,IF(INDEX(X:X,ROW()+2)&gt;=$AC$9,"L","TL"),"")</f>
        <v>#DIV/0!</v>
      </c>
      <c r="AA90" s="56"/>
      <c r="AB90" s="56"/>
      <c r="AC90" s="56"/>
      <c r="AD90" s="56"/>
      <c r="AE90" s="56"/>
    </row>
    <row r="91" spans="1:31" ht="14.5">
      <c r="A91" s="70" t="str">
        <f t="shared" si="78"/>
        <v/>
      </c>
      <c r="B91" s="70" t="str">
        <f t="array" ref="B91">IF(MOD(ROW()-ROW($B$12),3)=0,INDEX(BIODATA!B:B,INT((ROW()-ROW($B$12))/3)+24),"")</f>
        <v/>
      </c>
      <c r="C91" s="70"/>
      <c r="D91" s="71"/>
      <c r="E91" s="70"/>
      <c r="F91" s="72" t="s">
        <v>105</v>
      </c>
      <c r="G91" s="73">
        <f t="array" ref="G91">IF(MOD(ROW()-ROW($G$12),3)=1,INDEX(PSAJ!F:F,INT((ROW()-ROW($G$12))/3)+8),"")</f>
        <v>0</v>
      </c>
      <c r="H91" s="73">
        <f t="array" ref="H91">IF(MOD(ROW()-ROW($G$12),3)=1,INDEX(PSAJ!G:G,INT((ROW()-ROW($G$12))/3)+8),"")</f>
        <v>0</v>
      </c>
      <c r="I91" s="73">
        <f t="array" ref="I91">IF(MOD(ROW()-ROW($G$12),3)=1,INDEX(PSAJ!H:H,INT((ROW()-ROW($G$12))/3)+8),"")</f>
        <v>0</v>
      </c>
      <c r="J91" s="73">
        <f t="array" ref="J91">IF(MOD(ROW()-ROW($G$12),3)=1,INDEX(PSAJ!I:I,INT((ROW()-ROW($G$12))/3)+8),"")</f>
        <v>0</v>
      </c>
      <c r="K91" s="73">
        <f t="array" ref="K91">IF(MOD(ROW()-ROW($G$12),3)=1,INDEX(PSAJ!J:J,INT((ROW()-ROW($G$12))/3)+8),"")</f>
        <v>0</v>
      </c>
      <c r="L91" s="73">
        <f t="array" ref="L91">IF(MOD(ROW()-ROW($G$12),3)=1,INDEX(PSAJ!K:K,INT((ROW()-ROW($G$12))/3)+8),"")</f>
        <v>0</v>
      </c>
      <c r="M91" s="73">
        <f t="array" ref="M91">IF(MOD(ROW()-ROW($G$12),3)=1,INDEX(PSAJ!L:L,INT((ROW()-ROW($G$12))/3)+8),"")</f>
        <v>0</v>
      </c>
      <c r="N91" s="73">
        <f t="array" ref="N91">IF(MOD(ROW()-ROW($G$12),3)=1,INDEX(PSAJ!M:M,INT((ROW()-ROW($G$12))/3)+8),"")</f>
        <v>0</v>
      </c>
      <c r="O91" s="73">
        <f t="array" ref="O91">IF(MOD(ROW()-ROW($G$12),3)=1,INDEX(PSAJ!N:N,INT((ROW()-ROW($G$12))/3)+8),"")</f>
        <v>0</v>
      </c>
      <c r="P91" s="73">
        <f t="array" ref="P91">IF(MOD(ROW()-ROW($G$12),3)=1,INDEX(PSAJ!O:O,INT((ROW()-ROW($G$12))/3)+8),"")</f>
        <v>0</v>
      </c>
      <c r="Q91" s="73">
        <f t="array" ref="Q91">IF(MOD(ROW()-ROW($G$12),3)=1,INDEX(PSAJ!P:P,INT((ROW()-ROW($G$12))/3)+8),"")</f>
        <v>0</v>
      </c>
      <c r="R91" s="73">
        <f t="array" ref="R91">IF(MOD(ROW()-ROW($G$12),3)=1,INDEX(PSAJ!Q:Q,INT((ROW()-ROW($G$12))/3)+8),"")</f>
        <v>0</v>
      </c>
      <c r="S91" s="73">
        <f t="array" ref="S91">IF(MOD(ROW()-ROW($G$12),3)=1,INDEX(PSAJ!R:R,INT((ROW()-ROW($G$12))/3)+8),"")</f>
        <v>0</v>
      </c>
      <c r="T91" s="73">
        <f t="array" ref="T91">IF(MOD(ROW()-ROW($G$12),3)=1,INDEX(PSAJ!S:S,INT((ROW()-ROW($G$12))/3)+8),"")</f>
        <v>0</v>
      </c>
      <c r="U91" s="73">
        <v>0</v>
      </c>
      <c r="V91" s="73">
        <f t="array" ref="V91">IF(MOD(ROW()-ROW($G$12),3)=1,INDEX(PSAJ!T:T,INT((ROW()-ROW($G$12))/3)+8),"")</f>
        <v>0</v>
      </c>
      <c r="W91" s="73">
        <f t="shared" si="79"/>
        <v>0</v>
      </c>
      <c r="X91" s="73">
        <f>IF(MOD(ROW()-ROW($X$12),3)&lt;&gt;2,ROUND(W91/15,2),"")</f>
        <v>0</v>
      </c>
      <c r="Y91" s="70"/>
      <c r="Z91" s="75"/>
      <c r="AA91" s="56"/>
      <c r="AB91" s="56"/>
      <c r="AC91" s="56"/>
      <c r="AD91" s="56"/>
      <c r="AE91" s="56"/>
    </row>
    <row r="92" spans="1:31" ht="14.5">
      <c r="A92" s="70"/>
      <c r="B92" s="70"/>
      <c r="C92" s="70"/>
      <c r="D92" s="71"/>
      <c r="E92" s="70"/>
      <c r="F92" s="76" t="s">
        <v>135</v>
      </c>
      <c r="G92" s="77">
        <f t="shared" ref="G92:T92" si="80">IF(MOD(ROW()-ROW($G$12),3)=2,((INDEX(G:G,ROW()-2)*$AC$4)+(INDEX(G:G,ROW()-1)*$AE$4))/$AD$5,"")</f>
        <v>41</v>
      </c>
      <c r="H92" s="77">
        <f t="shared" si="80"/>
        <v>39</v>
      </c>
      <c r="I92" s="77">
        <f t="shared" si="80"/>
        <v>40.5</v>
      </c>
      <c r="J92" s="77">
        <f t="shared" si="80"/>
        <v>41.5</v>
      </c>
      <c r="K92" s="77">
        <f t="shared" si="80"/>
        <v>42</v>
      </c>
      <c r="L92" s="77">
        <f t="shared" si="80"/>
        <v>40</v>
      </c>
      <c r="M92" s="77">
        <f t="shared" si="80"/>
        <v>41</v>
      </c>
      <c r="N92" s="77">
        <f t="shared" si="80"/>
        <v>39.5</v>
      </c>
      <c r="O92" s="77">
        <f t="shared" si="80"/>
        <v>0</v>
      </c>
      <c r="P92" s="77">
        <f t="shared" si="80"/>
        <v>41.5</v>
      </c>
      <c r="Q92" s="77">
        <f t="shared" si="80"/>
        <v>41</v>
      </c>
      <c r="R92" s="77">
        <f t="shared" si="80"/>
        <v>41.5</v>
      </c>
      <c r="S92" s="77" t="e">
        <f t="shared" si="80"/>
        <v>#DIV/0!</v>
      </c>
      <c r="T92" s="77" t="e">
        <f t="shared" si="80"/>
        <v>#DIV/0!</v>
      </c>
      <c r="U92" s="77">
        <f t="array" ref="U92">IF(MOD(ROW()-ROW($U$12),3)=2,N(INDEX(U:U,ROW()-2)),0)</f>
        <v>0</v>
      </c>
      <c r="V92" s="77" t="e">
        <f>IF(MOD(ROW()-ROW($G$12),3)=2,((INDEX(V:V,ROW()-2)*$AC$4)+(INDEX(V:V,ROW()-1)*$AE$4))/$AD$5,"")</f>
        <v>#DIV/0!</v>
      </c>
      <c r="W92" s="77" t="e">
        <f>IF(MOD(ROW()-ROW($G$12),3)=2,((INDEX(W:W,ROW()-2)*$AC$4)+(INDEX(W:W,ROW()-1)*$AE$4))/$AD$5,"")</f>
        <v>#DIV/0!</v>
      </c>
      <c r="X92" s="77" t="e">
        <f>IF(MOD(ROW()-ROW($G$12),3)=2,((INDEX(X:X,ROW()-2)*$AC$4)+(INDEX(X:X,ROW()-1)*$AE$4))/$AD$5,"")</f>
        <v>#DIV/0!</v>
      </c>
      <c r="Y92" s="78"/>
      <c r="Z92" s="77"/>
      <c r="AA92" s="56"/>
      <c r="AB92" s="56"/>
      <c r="AC92" s="56"/>
      <c r="AD92" s="56"/>
      <c r="AE92" s="56"/>
    </row>
    <row r="93" spans="1:31" ht="14.5">
      <c r="A93" s="70">
        <f t="shared" ref="A93:A94" si="81">IF(MOD(ROW()-12,3)=0,INT((ROW()-12)/3)+1,"")</f>
        <v>28</v>
      </c>
      <c r="B93" s="70">
        <f t="array" ref="B93">IF(MOD(ROW()-ROW($B$12),3)=0,INDEX(BIODATA!B:B,INT((ROW()-ROW($B$12))/3)+24),"")</f>
        <v>0</v>
      </c>
      <c r="C93" s="70">
        <f t="array" ref="C93">IF(MOD(ROW()-ROW($B$12),3)=0,INDEX(BIODATA!C:C,INT((ROW()-ROW($B$12))/3)+24),"")</f>
        <v>0</v>
      </c>
      <c r="D93" s="71" t="str">
        <f t="array" ref="D93">IF(MOD(ROW()-ROW($B$12),3)=0,INDEX(BIODATA!D:D,INT((ROW()-ROW($B$12))/3)+24),"")</f>
        <v>SAPUTRA DWI ERLANGGA</v>
      </c>
      <c r="E93" s="70" t="str">
        <f t="array" ref="E93">IF(MOD(ROW()-ROW($B$12),3)=0,INDEX(BIODATA!H:H,INT((ROW()-ROW($B$12))/3)+24),"")</f>
        <v>L</v>
      </c>
      <c r="F93" s="72" t="s">
        <v>134</v>
      </c>
      <c r="G93" s="73">
        <f t="array" ref="G93">IF(MOD(ROW()-ROW($G$12),3)=0,INDEX(RR!L:L,INT((ROW()-ROW($G$12))/3)+9),"")</f>
        <v>85</v>
      </c>
      <c r="H93" s="73">
        <f t="array" ref="H93">IF(MOD(ROW()-ROW($H$12),3)=0,INDEX(RR!R:R,INT((ROW()-ROW($H$12))/3)+9),"")</f>
        <v>78</v>
      </c>
      <c r="I93" s="73">
        <f t="array" ref="I93">IF(MOD(ROW()-ROW($I$12),3)=0,INDEX(RR!X:X,INT((ROW()-ROW($I$12))/3)+9),"")</f>
        <v>81</v>
      </c>
      <c r="J93" s="73">
        <f t="array" ref="J93">IF(MOD(ROW()-ROW($I$12),3)=0,INDEX(RR!AC:AC,INT((ROW()-ROW($I$12))/3)+9),"")</f>
        <v>86</v>
      </c>
      <c r="K93" s="73">
        <f t="array" ref="K93">IF(MOD(ROW()-ROW($I$12),3)=0,INDEX(RR!AH:AH,INT((ROW()-ROW($I$12))/3)+9),"")</f>
        <v>86</v>
      </c>
      <c r="L93" s="73">
        <f t="array" ref="L93">IF(MOD(ROW()-ROW($I$12),3)=0,INDEX(RR!AK:AK,INT((ROW()-ROW($I$12))/3)+9),"")</f>
        <v>90</v>
      </c>
      <c r="M93" s="73">
        <f t="array" ref="M93">IF(MOD(ROW()-ROW($I$12),3)=0,INDEX(RR!AQ:AQ,INT((ROW()-ROW($I$12))/3)+9),"")</f>
        <v>85</v>
      </c>
      <c r="N93" s="73">
        <f t="array" ref="N93">IF(MOD(ROW()-ROW($I$12),3)=0,INDEX(RR!AW:AW,INT((ROW()-ROW($I$12))/3)+9),"")</f>
        <v>70</v>
      </c>
      <c r="O93" s="73">
        <f t="array" ref="O93">IF(MOD(ROW()-ROW($I$12),3)=0,INDEX(RR!BB:BB,INT((ROW()-ROW($I$12))/3)+9),"")</f>
        <v>0</v>
      </c>
      <c r="P93" s="73">
        <f t="array" ref="P93">IF(MOD(ROW()-ROW($I$12),3)=0,INDEX(RR!BF:BF,INT((ROW()-ROW($I$12))/3)+9),"")</f>
        <v>78</v>
      </c>
      <c r="Q93" s="73">
        <f t="array" ref="Q93">IF(MOD(ROW()-ROW($I$12),3)=0,INDEX(RR!BI:BI,INT((ROW()-ROW($I$12))/3)+9),"")</f>
        <v>82</v>
      </c>
      <c r="R93" s="73">
        <f t="array" ref="R93">IF(MOD(ROW()-ROW($I$12),3)=0,INDEX(RR!BL:BL,INT((ROW()-ROW($I$12))/3)+9),"")</f>
        <v>78</v>
      </c>
      <c r="S93" s="73" t="e">
        <f t="array" ref="S93">IF(MOD(ROW()-ROW($I$12),3)=0,INDEX(RR!BP:BP,INT((ROW()-ROW($I$12))/3)+9),"")</f>
        <v>#DIV/0!</v>
      </c>
      <c r="T93" s="73" t="e">
        <f t="array" ref="T93">IF(MOD(ROW()-ROW($I$12),3)=0,INDEX(RR!BT:BT,INT((ROW()-ROW($I$12))/3)+9),"")</f>
        <v>#DIV/0!</v>
      </c>
      <c r="U93" s="73">
        <f t="array" ref="U93">IF(MOD(ROW()-ROW($I$12),3)=0,INDEX(RR!BV:BV,INT((ROW()-ROW($I$12))/3)+9),"")</f>
        <v>0</v>
      </c>
      <c r="V93" s="73" t="e">
        <f t="array" ref="V93">IF(MOD(ROW()-ROW($I$12),3)=0,INDEX(RR!BZ:BZ,INT((ROW()-ROW($I$12))/3)+9),"")</f>
        <v>#DIV/0!</v>
      </c>
      <c r="W93" s="73" t="e">
        <f t="shared" ref="W93:W94" si="82">IF(MOD(ROW()-ROW($W$12),3)&lt;&gt;2,SUM(G93:V93),"")</f>
        <v>#DIV/0!</v>
      </c>
      <c r="X93" s="73" t="e">
        <f>IF(MOD(ROW()-ROW($X$12),3)&lt;&gt;2,ROUND(W93/16,2),"")</f>
        <v>#DIV/0!</v>
      </c>
      <c r="Y93" s="70"/>
      <c r="Z93" s="74" t="e">
        <f t="array" ref="Z93">IF(MOD(ROW()-ROW($Z$12),3)=0,IF(INDEX(X:X,ROW()+2)&gt;=$AC$9,"L","TL"),"")</f>
        <v>#DIV/0!</v>
      </c>
      <c r="AA93" s="56"/>
      <c r="AB93" s="56"/>
      <c r="AC93" s="56"/>
      <c r="AD93" s="56"/>
      <c r="AE93" s="56"/>
    </row>
    <row r="94" spans="1:31" ht="14.5">
      <c r="A94" s="70" t="str">
        <f t="shared" si="81"/>
        <v/>
      </c>
      <c r="B94" s="70" t="str">
        <f t="array" ref="B94">IF(MOD(ROW()-ROW($B$12),3)=0,INDEX(BIODATA!B:B,INT((ROW()-ROW($B$12))/3)+24),"")</f>
        <v/>
      </c>
      <c r="C94" s="70"/>
      <c r="D94" s="71"/>
      <c r="E94" s="70"/>
      <c r="F94" s="72" t="s">
        <v>105</v>
      </c>
      <c r="G94" s="73">
        <f t="array" ref="G94">IF(MOD(ROW()-ROW($G$12),3)=1,INDEX(PSAJ!F:F,INT((ROW()-ROW($G$12))/3)+8),"")</f>
        <v>0</v>
      </c>
      <c r="H94" s="73">
        <f t="array" ref="H94">IF(MOD(ROW()-ROW($G$12),3)=1,INDEX(PSAJ!G:G,INT((ROW()-ROW($G$12))/3)+8),"")</f>
        <v>0</v>
      </c>
      <c r="I94" s="73">
        <f t="array" ref="I94">IF(MOD(ROW()-ROW($G$12),3)=1,INDEX(PSAJ!H:H,INT((ROW()-ROW($G$12))/3)+8),"")</f>
        <v>0</v>
      </c>
      <c r="J94" s="73">
        <f t="array" ref="J94">IF(MOD(ROW()-ROW($G$12),3)=1,INDEX(PSAJ!I:I,INT((ROW()-ROW($G$12))/3)+8),"")</f>
        <v>0</v>
      </c>
      <c r="K94" s="73">
        <f t="array" ref="K94">IF(MOD(ROW()-ROW($G$12),3)=1,INDEX(PSAJ!J:J,INT((ROW()-ROW($G$12))/3)+8),"")</f>
        <v>0</v>
      </c>
      <c r="L94" s="73">
        <f t="array" ref="L94">IF(MOD(ROW()-ROW($G$12),3)=1,INDEX(PSAJ!K:K,INT((ROW()-ROW($G$12))/3)+8),"")</f>
        <v>0</v>
      </c>
      <c r="M94" s="73">
        <f t="array" ref="M94">IF(MOD(ROW()-ROW($G$12),3)=1,INDEX(PSAJ!L:L,INT((ROW()-ROW($G$12))/3)+8),"")</f>
        <v>0</v>
      </c>
      <c r="N94" s="73">
        <f t="array" ref="N94">IF(MOD(ROW()-ROW($G$12),3)=1,INDEX(PSAJ!M:M,INT((ROW()-ROW($G$12))/3)+8),"")</f>
        <v>0</v>
      </c>
      <c r="O94" s="73">
        <f t="array" ref="O94">IF(MOD(ROW()-ROW($G$12),3)=1,INDEX(PSAJ!N:N,INT((ROW()-ROW($G$12))/3)+8),"")</f>
        <v>0</v>
      </c>
      <c r="P94" s="73">
        <f t="array" ref="P94">IF(MOD(ROW()-ROW($G$12),3)=1,INDEX(PSAJ!O:O,INT((ROW()-ROW($G$12))/3)+8),"")</f>
        <v>0</v>
      </c>
      <c r="Q94" s="73">
        <f t="array" ref="Q94">IF(MOD(ROW()-ROW($G$12),3)=1,INDEX(PSAJ!P:P,INT((ROW()-ROW($G$12))/3)+8),"")</f>
        <v>0</v>
      </c>
      <c r="R94" s="73">
        <f t="array" ref="R94">IF(MOD(ROW()-ROW($G$12),3)=1,INDEX(PSAJ!Q:Q,INT((ROW()-ROW($G$12))/3)+8),"")</f>
        <v>0</v>
      </c>
      <c r="S94" s="73">
        <f t="array" ref="S94">IF(MOD(ROW()-ROW($G$12),3)=1,INDEX(PSAJ!R:R,INT((ROW()-ROW($G$12))/3)+8),"")</f>
        <v>0</v>
      </c>
      <c r="T94" s="73">
        <f t="array" ref="T94">IF(MOD(ROW()-ROW($G$12),3)=1,INDEX(PSAJ!S:S,INT((ROW()-ROW($G$12))/3)+8),"")</f>
        <v>0</v>
      </c>
      <c r="U94" s="73">
        <v>0</v>
      </c>
      <c r="V94" s="73">
        <f t="array" ref="V94">IF(MOD(ROW()-ROW($G$12),3)=1,INDEX(PSAJ!T:T,INT((ROW()-ROW($G$12))/3)+8),"")</f>
        <v>0</v>
      </c>
      <c r="W94" s="73">
        <f t="shared" si="82"/>
        <v>0</v>
      </c>
      <c r="X94" s="73">
        <f>IF(MOD(ROW()-ROW($X$12),3)&lt;&gt;2,ROUND(W94/15,2),"")</f>
        <v>0</v>
      </c>
      <c r="Y94" s="70"/>
      <c r="Z94" s="75"/>
      <c r="AA94" s="56"/>
      <c r="AB94" s="56"/>
      <c r="AC94" s="56"/>
      <c r="AD94" s="56"/>
      <c r="AE94" s="56"/>
    </row>
    <row r="95" spans="1:31" ht="14.5">
      <c r="A95" s="70"/>
      <c r="B95" s="70"/>
      <c r="C95" s="70"/>
      <c r="D95" s="71"/>
      <c r="E95" s="70"/>
      <c r="F95" s="76" t="s">
        <v>135</v>
      </c>
      <c r="G95" s="77">
        <f t="shared" ref="G95:T95" si="83">IF(MOD(ROW()-ROW($G$12),3)=2,((INDEX(G:G,ROW()-2)*$AC$4)+(INDEX(G:G,ROW()-1)*$AE$4))/$AD$5,"")</f>
        <v>42.5</v>
      </c>
      <c r="H95" s="77">
        <f t="shared" si="83"/>
        <v>39</v>
      </c>
      <c r="I95" s="77">
        <f t="shared" si="83"/>
        <v>40.5</v>
      </c>
      <c r="J95" s="77">
        <f t="shared" si="83"/>
        <v>43</v>
      </c>
      <c r="K95" s="77">
        <f t="shared" si="83"/>
        <v>43</v>
      </c>
      <c r="L95" s="77">
        <f t="shared" si="83"/>
        <v>45</v>
      </c>
      <c r="M95" s="77">
        <f t="shared" si="83"/>
        <v>42.5</v>
      </c>
      <c r="N95" s="77">
        <f t="shared" si="83"/>
        <v>35</v>
      </c>
      <c r="O95" s="77">
        <f t="shared" si="83"/>
        <v>0</v>
      </c>
      <c r="P95" s="77">
        <f t="shared" si="83"/>
        <v>39</v>
      </c>
      <c r="Q95" s="77">
        <f t="shared" si="83"/>
        <v>41</v>
      </c>
      <c r="R95" s="77">
        <f t="shared" si="83"/>
        <v>39</v>
      </c>
      <c r="S95" s="77" t="e">
        <f t="shared" si="83"/>
        <v>#DIV/0!</v>
      </c>
      <c r="T95" s="77" t="e">
        <f t="shared" si="83"/>
        <v>#DIV/0!</v>
      </c>
      <c r="U95" s="77">
        <f t="array" ref="U95">IF(MOD(ROW()-ROW($U$12),3)=2,N(INDEX(U:U,ROW()-2)),0)</f>
        <v>0</v>
      </c>
      <c r="V95" s="77" t="e">
        <f>IF(MOD(ROW()-ROW($G$12),3)=2,((INDEX(V:V,ROW()-2)*$AC$4)+(INDEX(V:V,ROW()-1)*$AE$4))/$AD$5,"")</f>
        <v>#DIV/0!</v>
      </c>
      <c r="W95" s="77" t="e">
        <f>IF(MOD(ROW()-ROW($G$12),3)=2,((INDEX(W:W,ROW()-2)*$AC$4)+(INDEX(W:W,ROW()-1)*$AE$4))/$AD$5,"")</f>
        <v>#DIV/0!</v>
      </c>
      <c r="X95" s="77" t="e">
        <f>IF(MOD(ROW()-ROW($G$12),3)=2,((INDEX(X:X,ROW()-2)*$AC$4)+(INDEX(X:X,ROW()-1)*$AE$4))/$AD$5,"")</f>
        <v>#DIV/0!</v>
      </c>
      <c r="Y95" s="78"/>
      <c r="Z95" s="77"/>
      <c r="AA95" s="56"/>
      <c r="AB95" s="56"/>
      <c r="AC95" s="56"/>
      <c r="AD95" s="56"/>
      <c r="AE95" s="56"/>
    </row>
    <row r="96" spans="1:31" ht="14.5">
      <c r="A96" s="70">
        <f t="shared" ref="A96:A97" si="84">IF(MOD(ROW()-12,3)=0,INT((ROW()-12)/3)+1,"")</f>
        <v>29</v>
      </c>
      <c r="B96" s="70">
        <f t="array" ref="B96">IF(MOD(ROW()-ROW($B$12),3)=0,INDEX(BIODATA!B:B,INT((ROW()-ROW($B$12))/3)+24),"")</f>
        <v>0</v>
      </c>
      <c r="C96" s="70">
        <f t="array" ref="C96">IF(MOD(ROW()-ROW($B$12),3)=0,INDEX(BIODATA!C:C,INT((ROW()-ROW($B$12))/3)+24),"")</f>
        <v>0</v>
      </c>
      <c r="D96" s="71" t="str">
        <f t="array" ref="D96">IF(MOD(ROW()-ROW($B$12),3)=0,INDEX(BIODATA!D:D,INT((ROW()-ROW($B$12))/3)+24),"")</f>
        <v>SHANDY SETYA PRAYOGA</v>
      </c>
      <c r="E96" s="70" t="str">
        <f t="array" ref="E96">IF(MOD(ROW()-ROW($B$12),3)=0,INDEX(BIODATA!H:H,INT((ROW()-ROW($B$12))/3)+24),"")</f>
        <v>L</v>
      </c>
      <c r="F96" s="72" t="s">
        <v>134</v>
      </c>
      <c r="G96" s="73">
        <f t="array" ref="G96">IF(MOD(ROW()-ROW($G$12),3)=0,INDEX(RR!L:L,INT((ROW()-ROW($G$12))/3)+9),"")</f>
        <v>82</v>
      </c>
      <c r="H96" s="73">
        <f t="array" ref="H96">IF(MOD(ROW()-ROW($H$12),3)=0,INDEX(RR!R:R,INT((ROW()-ROW($H$12))/3)+9),"")</f>
        <v>78</v>
      </c>
      <c r="I96" s="73">
        <f t="array" ref="I96">IF(MOD(ROW()-ROW($I$12),3)=0,INDEX(RR!X:X,INT((ROW()-ROW($I$12))/3)+9),"")</f>
        <v>81</v>
      </c>
      <c r="J96" s="73">
        <f t="array" ref="J96">IF(MOD(ROW()-ROW($I$12),3)=0,INDEX(RR!AC:AC,INT((ROW()-ROW($I$12))/3)+9),"")</f>
        <v>85</v>
      </c>
      <c r="K96" s="73">
        <f t="array" ref="K96">IF(MOD(ROW()-ROW($I$12),3)=0,INDEX(RR!AH:AH,INT((ROW()-ROW($I$12))/3)+9),"")</f>
        <v>84</v>
      </c>
      <c r="L96" s="73">
        <f t="array" ref="L96">IF(MOD(ROW()-ROW($I$12),3)=0,INDEX(RR!AK:AK,INT((ROW()-ROW($I$12))/3)+9),"")</f>
        <v>85</v>
      </c>
      <c r="M96" s="73">
        <f t="array" ref="M96">IF(MOD(ROW()-ROW($I$12),3)=0,INDEX(RR!AQ:AQ,INT((ROW()-ROW($I$12))/3)+9),"")</f>
        <v>82</v>
      </c>
      <c r="N96" s="73">
        <f t="array" ref="N96">IF(MOD(ROW()-ROW($I$12),3)=0,INDEX(RR!AW:AW,INT((ROW()-ROW($I$12))/3)+9),"")</f>
        <v>79</v>
      </c>
      <c r="O96" s="73">
        <f t="array" ref="O96">IF(MOD(ROW()-ROW($I$12),3)=0,INDEX(RR!BB:BB,INT((ROW()-ROW($I$12))/3)+9),"")</f>
        <v>0</v>
      </c>
      <c r="P96" s="73">
        <f t="array" ref="P96">IF(MOD(ROW()-ROW($I$12),3)=0,INDEX(RR!BF:BF,INT((ROW()-ROW($I$12))/3)+9),"")</f>
        <v>78</v>
      </c>
      <c r="Q96" s="73">
        <f t="array" ref="Q96">IF(MOD(ROW()-ROW($I$12),3)=0,INDEX(RR!BI:BI,INT((ROW()-ROW($I$12))/3)+9),"")</f>
        <v>80</v>
      </c>
      <c r="R96" s="73">
        <f t="array" ref="R96">IF(MOD(ROW()-ROW($I$12),3)=0,INDEX(RR!BL:BL,INT((ROW()-ROW($I$12))/3)+9),"")</f>
        <v>78</v>
      </c>
      <c r="S96" s="73" t="e">
        <f t="array" ref="S96">IF(MOD(ROW()-ROW($I$12),3)=0,INDEX(RR!BP:BP,INT((ROW()-ROW($I$12))/3)+9),"")</f>
        <v>#DIV/0!</v>
      </c>
      <c r="T96" s="73" t="e">
        <f t="array" ref="T96">IF(MOD(ROW()-ROW($I$12),3)=0,INDEX(RR!BT:BT,INT((ROW()-ROW($I$12))/3)+9),"")</f>
        <v>#DIV/0!</v>
      </c>
      <c r="U96" s="73">
        <f t="array" ref="U96">IF(MOD(ROW()-ROW($I$12),3)=0,INDEX(RR!BV:BV,INT((ROW()-ROW($I$12))/3)+9),"")</f>
        <v>0</v>
      </c>
      <c r="V96" s="73" t="e">
        <f t="array" ref="V96">IF(MOD(ROW()-ROW($I$12),3)=0,INDEX(RR!BZ:BZ,INT((ROW()-ROW($I$12))/3)+9),"")</f>
        <v>#DIV/0!</v>
      </c>
      <c r="W96" s="73" t="e">
        <f t="shared" ref="W96:W97" si="85">IF(MOD(ROW()-ROW($W$12),3)&lt;&gt;2,SUM(G96:V96),"")</f>
        <v>#DIV/0!</v>
      </c>
      <c r="X96" s="73" t="e">
        <f>IF(MOD(ROW()-ROW($X$12),3)&lt;&gt;2,ROUND(W96/16,2),"")</f>
        <v>#DIV/0!</v>
      </c>
      <c r="Y96" s="70"/>
      <c r="Z96" s="74" t="e">
        <f t="array" ref="Z96">IF(MOD(ROW()-ROW($Z$12),3)=0,IF(INDEX(X:X,ROW()+2)&gt;=$AC$9,"L","TL"),"")</f>
        <v>#DIV/0!</v>
      </c>
      <c r="AA96" s="56"/>
      <c r="AB96" s="56"/>
      <c r="AC96" s="56"/>
      <c r="AD96" s="56"/>
      <c r="AE96" s="56"/>
    </row>
    <row r="97" spans="1:31" ht="14.5">
      <c r="A97" s="70" t="str">
        <f t="shared" si="84"/>
        <v/>
      </c>
      <c r="B97" s="70" t="str">
        <f t="array" ref="B97">IF(MOD(ROW()-ROW($B$12),3)=0,INDEX(BIODATA!B:B,INT((ROW()-ROW($B$12))/3)+24),"")</f>
        <v/>
      </c>
      <c r="C97" s="70"/>
      <c r="D97" s="71"/>
      <c r="E97" s="70"/>
      <c r="F97" s="72" t="s">
        <v>105</v>
      </c>
      <c r="G97" s="73">
        <f t="array" ref="G97">IF(MOD(ROW()-ROW($G$12),3)=1,INDEX(PSAJ!F:F,INT((ROW()-ROW($G$12))/3)+8),"")</f>
        <v>0</v>
      </c>
      <c r="H97" s="73">
        <f t="array" ref="H97">IF(MOD(ROW()-ROW($G$12),3)=1,INDEX(PSAJ!G:G,INT((ROW()-ROW($G$12))/3)+8),"")</f>
        <v>0</v>
      </c>
      <c r="I97" s="73">
        <f t="array" ref="I97">IF(MOD(ROW()-ROW($G$12),3)=1,INDEX(PSAJ!H:H,INT((ROW()-ROW($G$12))/3)+8),"")</f>
        <v>0</v>
      </c>
      <c r="J97" s="73">
        <f t="array" ref="J97">IF(MOD(ROW()-ROW($G$12),3)=1,INDEX(PSAJ!I:I,INT((ROW()-ROW($G$12))/3)+8),"")</f>
        <v>0</v>
      </c>
      <c r="K97" s="73">
        <f t="array" ref="K97">IF(MOD(ROW()-ROW($G$12),3)=1,INDEX(PSAJ!J:J,INT((ROW()-ROW($G$12))/3)+8),"")</f>
        <v>0</v>
      </c>
      <c r="L97" s="73">
        <f t="array" ref="L97">IF(MOD(ROW()-ROW($G$12),3)=1,INDEX(PSAJ!K:K,INT((ROW()-ROW($G$12))/3)+8),"")</f>
        <v>0</v>
      </c>
      <c r="M97" s="73">
        <f t="array" ref="M97">IF(MOD(ROW()-ROW($G$12),3)=1,INDEX(PSAJ!L:L,INT((ROW()-ROW($G$12))/3)+8),"")</f>
        <v>0</v>
      </c>
      <c r="N97" s="73">
        <f t="array" ref="N97">IF(MOD(ROW()-ROW($G$12),3)=1,INDEX(PSAJ!M:M,INT((ROW()-ROW($G$12))/3)+8),"")</f>
        <v>0</v>
      </c>
      <c r="O97" s="73">
        <f t="array" ref="O97">IF(MOD(ROW()-ROW($G$12),3)=1,INDEX(PSAJ!N:N,INT((ROW()-ROW($G$12))/3)+8),"")</f>
        <v>0</v>
      </c>
      <c r="P97" s="73">
        <f t="array" ref="P97">IF(MOD(ROW()-ROW($G$12),3)=1,INDEX(PSAJ!O:O,INT((ROW()-ROW($G$12))/3)+8),"")</f>
        <v>0</v>
      </c>
      <c r="Q97" s="73">
        <f t="array" ref="Q97">IF(MOD(ROW()-ROW($G$12),3)=1,INDEX(PSAJ!P:P,INT((ROW()-ROW($G$12))/3)+8),"")</f>
        <v>0</v>
      </c>
      <c r="R97" s="73">
        <f t="array" ref="R97">IF(MOD(ROW()-ROW($G$12),3)=1,INDEX(PSAJ!Q:Q,INT((ROW()-ROW($G$12))/3)+8),"")</f>
        <v>0</v>
      </c>
      <c r="S97" s="73">
        <f t="array" ref="S97">IF(MOD(ROW()-ROW($G$12),3)=1,INDEX(PSAJ!R:R,INT((ROW()-ROW($G$12))/3)+8),"")</f>
        <v>0</v>
      </c>
      <c r="T97" s="73">
        <f t="array" ref="T97">IF(MOD(ROW()-ROW($G$12),3)=1,INDEX(PSAJ!S:S,INT((ROW()-ROW($G$12))/3)+8),"")</f>
        <v>0</v>
      </c>
      <c r="U97" s="73">
        <v>0</v>
      </c>
      <c r="V97" s="73">
        <f t="array" ref="V97">IF(MOD(ROW()-ROW($G$12),3)=1,INDEX(PSAJ!T:T,INT((ROW()-ROW($G$12))/3)+8),"")</f>
        <v>0</v>
      </c>
      <c r="W97" s="73">
        <f t="shared" si="85"/>
        <v>0</v>
      </c>
      <c r="X97" s="73">
        <f>IF(MOD(ROW()-ROW($X$12),3)&lt;&gt;2,ROUND(W97/15,2),"")</f>
        <v>0</v>
      </c>
      <c r="Y97" s="70"/>
      <c r="Z97" s="75"/>
      <c r="AA97" s="56"/>
      <c r="AB97" s="56"/>
      <c r="AC97" s="56"/>
      <c r="AD97" s="56"/>
      <c r="AE97" s="56"/>
    </row>
    <row r="98" spans="1:31" ht="14.5">
      <c r="A98" s="70"/>
      <c r="B98" s="70"/>
      <c r="C98" s="70"/>
      <c r="D98" s="71"/>
      <c r="E98" s="70"/>
      <c r="F98" s="76" t="s">
        <v>135</v>
      </c>
      <c r="G98" s="77">
        <f t="shared" ref="G98:T98" si="86">IF(MOD(ROW()-ROW($G$12),3)=2,((INDEX(G:G,ROW()-2)*$AC$4)+(INDEX(G:G,ROW()-1)*$AE$4))/$AD$5,"")</f>
        <v>41</v>
      </c>
      <c r="H98" s="77">
        <f t="shared" si="86"/>
        <v>39</v>
      </c>
      <c r="I98" s="77">
        <f t="shared" si="86"/>
        <v>40.5</v>
      </c>
      <c r="J98" s="77">
        <f t="shared" si="86"/>
        <v>42.5</v>
      </c>
      <c r="K98" s="77">
        <f t="shared" si="86"/>
        <v>42</v>
      </c>
      <c r="L98" s="77">
        <f t="shared" si="86"/>
        <v>42.5</v>
      </c>
      <c r="M98" s="77">
        <f t="shared" si="86"/>
        <v>41</v>
      </c>
      <c r="N98" s="77">
        <f t="shared" si="86"/>
        <v>39.5</v>
      </c>
      <c r="O98" s="77">
        <f t="shared" si="86"/>
        <v>0</v>
      </c>
      <c r="P98" s="77">
        <f t="shared" si="86"/>
        <v>39</v>
      </c>
      <c r="Q98" s="77">
        <f t="shared" si="86"/>
        <v>40</v>
      </c>
      <c r="R98" s="77">
        <f t="shared" si="86"/>
        <v>39</v>
      </c>
      <c r="S98" s="77" t="e">
        <f t="shared" si="86"/>
        <v>#DIV/0!</v>
      </c>
      <c r="T98" s="77" t="e">
        <f t="shared" si="86"/>
        <v>#DIV/0!</v>
      </c>
      <c r="U98" s="77">
        <f t="array" ref="U98">IF(MOD(ROW()-ROW($U$12),3)=2,N(INDEX(U:U,ROW()-2)),0)</f>
        <v>0</v>
      </c>
      <c r="V98" s="77" t="e">
        <f>IF(MOD(ROW()-ROW($G$12),3)=2,((INDEX(V:V,ROW()-2)*$AC$4)+(INDEX(V:V,ROW()-1)*$AE$4))/$AD$5,"")</f>
        <v>#DIV/0!</v>
      </c>
      <c r="W98" s="77" t="e">
        <f>IF(MOD(ROW()-ROW($G$12),3)=2,((INDEX(W:W,ROW()-2)*$AC$4)+(INDEX(W:W,ROW()-1)*$AE$4))/$AD$5,"")</f>
        <v>#DIV/0!</v>
      </c>
      <c r="X98" s="77" t="e">
        <f>IF(MOD(ROW()-ROW($G$12),3)=2,((INDEX(X:X,ROW()-2)*$AC$4)+(INDEX(X:X,ROW()-1)*$AE$4))/$AD$5,"")</f>
        <v>#DIV/0!</v>
      </c>
      <c r="Y98" s="78"/>
      <c r="Z98" s="77"/>
      <c r="AA98" s="56"/>
      <c r="AB98" s="56"/>
      <c r="AC98" s="56"/>
      <c r="AD98" s="56"/>
      <c r="AE98" s="56"/>
    </row>
    <row r="99" spans="1:31" ht="14.5">
      <c r="A99" s="70">
        <f t="shared" ref="A99:A100" si="87">IF(MOD(ROW()-12,3)=0,INT((ROW()-12)/3)+1,"")</f>
        <v>30</v>
      </c>
      <c r="B99" s="70">
        <f t="array" ref="B99">IF(MOD(ROW()-ROW($B$12),3)=0,INDEX(BIODATA!B:B,INT((ROW()-ROW($B$12))/3)+24),"")</f>
        <v>0</v>
      </c>
      <c r="C99" s="70">
        <f t="array" ref="C99">IF(MOD(ROW()-ROW($B$12),3)=0,INDEX(BIODATA!C:C,INT((ROW()-ROW($B$12))/3)+24),"")</f>
        <v>0</v>
      </c>
      <c r="D99" s="71" t="str">
        <f t="array" ref="D99">IF(MOD(ROW()-ROW($B$12),3)=0,INDEX(BIODATA!D:D,INT((ROW()-ROW($B$12))/3)+24),"")</f>
        <v>TIO ANDIKA EKO SAPUTRA</v>
      </c>
      <c r="E99" s="70" t="str">
        <f t="array" ref="E99">IF(MOD(ROW()-ROW($B$12),3)=0,INDEX(BIODATA!H:H,INT((ROW()-ROW($B$12))/3)+24),"")</f>
        <v>L</v>
      </c>
      <c r="F99" s="72" t="s">
        <v>134</v>
      </c>
      <c r="G99" s="73">
        <f t="array" ref="G99">IF(MOD(ROW()-ROW($G$12),3)=0,INDEX(RR!L:L,INT((ROW()-ROW($G$12))/3)+9),"")</f>
        <v>86</v>
      </c>
      <c r="H99" s="73">
        <f t="array" ref="H99">IF(MOD(ROW()-ROW($H$12),3)=0,INDEX(RR!R:R,INT((ROW()-ROW($H$12))/3)+9),"")</f>
        <v>89</v>
      </c>
      <c r="I99" s="73">
        <f t="array" ref="I99">IF(MOD(ROW()-ROW($I$12),3)=0,INDEX(RR!X:X,INT((ROW()-ROW($I$12))/3)+9),"")</f>
        <v>82</v>
      </c>
      <c r="J99" s="73">
        <f t="array" ref="J99">IF(MOD(ROW()-ROW($I$12),3)=0,INDEX(RR!AC:AC,INT((ROW()-ROW($I$12))/3)+9),"")</f>
        <v>87</v>
      </c>
      <c r="K99" s="73">
        <f t="array" ref="K99">IF(MOD(ROW()-ROW($I$12),3)=0,INDEX(RR!AH:AH,INT((ROW()-ROW($I$12))/3)+9),"")</f>
        <v>88</v>
      </c>
      <c r="L99" s="73">
        <f t="array" ref="L99">IF(MOD(ROW()-ROW($I$12),3)=0,INDEX(RR!AK:AK,INT((ROW()-ROW($I$12))/3)+9),"")</f>
        <v>85</v>
      </c>
      <c r="M99" s="73">
        <f t="array" ref="M99">IF(MOD(ROW()-ROW($I$12),3)=0,INDEX(RR!AQ:AQ,INT((ROW()-ROW($I$12))/3)+9),"")</f>
        <v>86</v>
      </c>
      <c r="N99" s="73">
        <f t="array" ref="N99">IF(MOD(ROW()-ROW($I$12),3)=0,INDEX(RR!AW:AW,INT((ROW()-ROW($I$12))/3)+9),"")</f>
        <v>80</v>
      </c>
      <c r="O99" s="73">
        <f t="array" ref="O99">IF(MOD(ROW()-ROW($I$12),3)=0,INDEX(RR!BB:BB,INT((ROW()-ROW($I$12))/3)+9),"")</f>
        <v>0</v>
      </c>
      <c r="P99" s="73">
        <f t="array" ref="P99">IF(MOD(ROW()-ROW($I$12),3)=0,INDEX(RR!BF:BF,INT((ROW()-ROW($I$12))/3)+9),"")</f>
        <v>88.333333333333343</v>
      </c>
      <c r="Q99" s="73">
        <f t="array" ref="Q99">IF(MOD(ROW()-ROW($I$12),3)=0,INDEX(RR!BI:BI,INT((ROW()-ROW($I$12))/3)+9),"")</f>
        <v>80</v>
      </c>
      <c r="R99" s="73">
        <f t="array" ref="R99">IF(MOD(ROW()-ROW($I$12),3)=0,INDEX(RR!BL:BL,INT((ROW()-ROW($I$12))/3)+9),"")</f>
        <v>88.333333333333343</v>
      </c>
      <c r="S99" s="73" t="e">
        <f t="array" ref="S99">IF(MOD(ROW()-ROW($I$12),3)=0,INDEX(RR!BP:BP,INT((ROW()-ROW($I$12))/3)+9),"")</f>
        <v>#DIV/0!</v>
      </c>
      <c r="T99" s="73" t="e">
        <f t="array" ref="T99">IF(MOD(ROW()-ROW($I$12),3)=0,INDEX(RR!BT:BT,INT((ROW()-ROW($I$12))/3)+9),"")</f>
        <v>#DIV/0!</v>
      </c>
      <c r="U99" s="73">
        <f t="array" ref="U99">IF(MOD(ROW()-ROW($I$12),3)=0,INDEX(RR!BV:BV,INT((ROW()-ROW($I$12))/3)+9),"")</f>
        <v>0</v>
      </c>
      <c r="V99" s="73" t="e">
        <f t="array" ref="V99">IF(MOD(ROW()-ROW($I$12),3)=0,INDEX(RR!BZ:BZ,INT((ROW()-ROW($I$12))/3)+9),"")</f>
        <v>#DIV/0!</v>
      </c>
      <c r="W99" s="73" t="e">
        <f t="shared" ref="W99:W100" si="88">IF(MOD(ROW()-ROW($W$12),3)&lt;&gt;2,SUM(G99:V99),"")</f>
        <v>#DIV/0!</v>
      </c>
      <c r="X99" s="73" t="e">
        <f>IF(MOD(ROW()-ROW($X$12),3)&lt;&gt;2,ROUND(W99/16,2),"")</f>
        <v>#DIV/0!</v>
      </c>
      <c r="Y99" s="70"/>
      <c r="Z99" s="74" t="e">
        <f t="array" ref="Z99">IF(MOD(ROW()-ROW($Z$12),3)=0,IF(INDEX(X:X,ROW()+2)&gt;=$AC$9,"L","TL"),"")</f>
        <v>#DIV/0!</v>
      </c>
      <c r="AA99" s="56"/>
      <c r="AB99" s="56"/>
      <c r="AC99" s="56"/>
      <c r="AD99" s="56"/>
      <c r="AE99" s="56"/>
    </row>
    <row r="100" spans="1:31" ht="14.5">
      <c r="A100" s="70" t="str">
        <f t="shared" si="87"/>
        <v/>
      </c>
      <c r="B100" s="70" t="str">
        <f t="array" ref="B100">IF(MOD(ROW()-ROW($B$12),3)=0,INDEX(BIODATA!B:B,INT((ROW()-ROW($B$12))/3)+24),"")</f>
        <v/>
      </c>
      <c r="C100" s="70"/>
      <c r="D100" s="71"/>
      <c r="E100" s="70"/>
      <c r="F100" s="72" t="s">
        <v>105</v>
      </c>
      <c r="G100" s="73">
        <f t="array" ref="G100">IF(MOD(ROW()-ROW($G$12),3)=1,INDEX(PSAJ!F:F,INT((ROW()-ROW($G$12))/3)+8),"")</f>
        <v>0</v>
      </c>
      <c r="H100" s="73">
        <f t="array" ref="H100">IF(MOD(ROW()-ROW($G$12),3)=1,INDEX(PSAJ!G:G,INT((ROW()-ROW($G$12))/3)+8),"")</f>
        <v>0</v>
      </c>
      <c r="I100" s="73">
        <f t="array" ref="I100">IF(MOD(ROW()-ROW($G$12),3)=1,INDEX(PSAJ!H:H,INT((ROW()-ROW($G$12))/3)+8),"")</f>
        <v>0</v>
      </c>
      <c r="J100" s="73">
        <f t="array" ref="J100">IF(MOD(ROW()-ROW($G$12),3)=1,INDEX(PSAJ!I:I,INT((ROW()-ROW($G$12))/3)+8),"")</f>
        <v>0</v>
      </c>
      <c r="K100" s="73">
        <f t="array" ref="K100">IF(MOD(ROW()-ROW($G$12),3)=1,INDEX(PSAJ!J:J,INT((ROW()-ROW($G$12))/3)+8),"")</f>
        <v>0</v>
      </c>
      <c r="L100" s="73">
        <f t="array" ref="L100">IF(MOD(ROW()-ROW($G$12),3)=1,INDEX(PSAJ!K:K,INT((ROW()-ROW($G$12))/3)+8),"")</f>
        <v>0</v>
      </c>
      <c r="M100" s="73">
        <f t="array" ref="M100">IF(MOD(ROW()-ROW($G$12),3)=1,INDEX(PSAJ!L:L,INT((ROW()-ROW($G$12))/3)+8),"")</f>
        <v>0</v>
      </c>
      <c r="N100" s="73">
        <f t="array" ref="N100">IF(MOD(ROW()-ROW($G$12),3)=1,INDEX(PSAJ!M:M,INT((ROW()-ROW($G$12))/3)+8),"")</f>
        <v>0</v>
      </c>
      <c r="O100" s="73">
        <f t="array" ref="O100">IF(MOD(ROW()-ROW($G$12),3)=1,INDEX(PSAJ!N:N,INT((ROW()-ROW($G$12))/3)+8),"")</f>
        <v>0</v>
      </c>
      <c r="P100" s="73">
        <f t="array" ref="P100">IF(MOD(ROW()-ROW($G$12),3)=1,INDEX(PSAJ!O:O,INT((ROW()-ROW($G$12))/3)+8),"")</f>
        <v>0</v>
      </c>
      <c r="Q100" s="73">
        <f t="array" ref="Q100">IF(MOD(ROW()-ROW($G$12),3)=1,INDEX(PSAJ!P:P,INT((ROW()-ROW($G$12))/3)+8),"")</f>
        <v>0</v>
      </c>
      <c r="R100" s="73">
        <f t="array" ref="R100">IF(MOD(ROW()-ROW($G$12),3)=1,INDEX(PSAJ!Q:Q,INT((ROW()-ROW($G$12))/3)+8),"")</f>
        <v>0</v>
      </c>
      <c r="S100" s="73">
        <f t="array" ref="S100">IF(MOD(ROW()-ROW($G$12),3)=1,INDEX(PSAJ!R:R,INT((ROW()-ROW($G$12))/3)+8),"")</f>
        <v>0</v>
      </c>
      <c r="T100" s="73">
        <f t="array" ref="T100">IF(MOD(ROW()-ROW($G$12),3)=1,INDEX(PSAJ!S:S,INT((ROW()-ROW($G$12))/3)+8),"")</f>
        <v>0</v>
      </c>
      <c r="U100" s="73">
        <v>0</v>
      </c>
      <c r="V100" s="73">
        <f t="array" ref="V100">IF(MOD(ROW()-ROW($G$12),3)=1,INDEX(PSAJ!T:T,INT((ROW()-ROW($G$12))/3)+8),"")</f>
        <v>0</v>
      </c>
      <c r="W100" s="73">
        <f t="shared" si="88"/>
        <v>0</v>
      </c>
      <c r="X100" s="73">
        <f>IF(MOD(ROW()-ROW($X$12),3)&lt;&gt;2,ROUND(W100/15,2),"")</f>
        <v>0</v>
      </c>
      <c r="Y100" s="70"/>
      <c r="Z100" s="75"/>
      <c r="AA100" s="56"/>
      <c r="AB100" s="56"/>
      <c r="AC100" s="56"/>
      <c r="AD100" s="56"/>
      <c r="AE100" s="56"/>
    </row>
    <row r="101" spans="1:31" ht="14.5">
      <c r="A101" s="70"/>
      <c r="B101" s="70"/>
      <c r="C101" s="70"/>
      <c r="D101" s="71"/>
      <c r="E101" s="70"/>
      <c r="F101" s="76" t="s">
        <v>135</v>
      </c>
      <c r="G101" s="77">
        <f t="shared" ref="G101:T101" si="89">IF(MOD(ROW()-ROW($G$12),3)=2,((INDEX(G:G,ROW()-2)*$AC$4)+(INDEX(G:G,ROW()-1)*$AE$4))/$AD$5,"")</f>
        <v>43</v>
      </c>
      <c r="H101" s="77">
        <f t="shared" si="89"/>
        <v>44.5</v>
      </c>
      <c r="I101" s="77">
        <f t="shared" si="89"/>
        <v>41</v>
      </c>
      <c r="J101" s="77">
        <f t="shared" si="89"/>
        <v>43.5</v>
      </c>
      <c r="K101" s="77">
        <f t="shared" si="89"/>
        <v>44</v>
      </c>
      <c r="L101" s="77">
        <f t="shared" si="89"/>
        <v>42.5</v>
      </c>
      <c r="M101" s="77">
        <f t="shared" si="89"/>
        <v>43</v>
      </c>
      <c r="N101" s="77">
        <f t="shared" si="89"/>
        <v>40</v>
      </c>
      <c r="O101" s="77">
        <f t="shared" si="89"/>
        <v>0</v>
      </c>
      <c r="P101" s="77">
        <f t="shared" si="89"/>
        <v>44.166666666666671</v>
      </c>
      <c r="Q101" s="77">
        <f t="shared" si="89"/>
        <v>40</v>
      </c>
      <c r="R101" s="77">
        <f t="shared" si="89"/>
        <v>44.166666666666671</v>
      </c>
      <c r="S101" s="77" t="e">
        <f t="shared" si="89"/>
        <v>#DIV/0!</v>
      </c>
      <c r="T101" s="77" t="e">
        <f t="shared" si="89"/>
        <v>#DIV/0!</v>
      </c>
      <c r="U101" s="77">
        <f t="array" ref="U101">IF(MOD(ROW()-ROW($U$12),3)=2,N(INDEX(U:U,ROW()-2)),0)</f>
        <v>0</v>
      </c>
      <c r="V101" s="77" t="e">
        <f>IF(MOD(ROW()-ROW($G$12),3)=2,((INDEX(V:V,ROW()-2)*$AC$4)+(INDEX(V:V,ROW()-1)*$AE$4))/$AD$5,"")</f>
        <v>#DIV/0!</v>
      </c>
      <c r="W101" s="77" t="e">
        <f>IF(MOD(ROW()-ROW($G$12),3)=2,((INDEX(W:W,ROW()-2)*$AC$4)+(INDEX(W:W,ROW()-1)*$AE$4))/$AD$5,"")</f>
        <v>#DIV/0!</v>
      </c>
      <c r="X101" s="77" t="e">
        <f>IF(MOD(ROW()-ROW($G$12),3)=2,((INDEX(X:X,ROW()-2)*$AC$4)+(INDEX(X:X,ROW()-1)*$AE$4))/$AD$5,"")</f>
        <v>#DIV/0!</v>
      </c>
      <c r="Y101" s="78"/>
      <c r="Z101" s="77"/>
      <c r="AA101" s="56"/>
      <c r="AB101" s="56"/>
      <c r="AC101" s="56"/>
      <c r="AD101" s="56"/>
      <c r="AE101" s="56"/>
    </row>
    <row r="102" spans="1:31" ht="14.5">
      <c r="A102" s="70">
        <f t="shared" ref="A102:A103" si="90">IF(MOD(ROW()-12,3)=0,INT((ROW()-12)/3)+1,"")</f>
        <v>31</v>
      </c>
      <c r="B102" s="70">
        <f t="array" ref="B102">IF(MOD(ROW()-ROW($B$12),3)=0,INDEX(BIODATA!B:B,INT((ROW()-ROW($B$12))/3)+24),"")</f>
        <v>0</v>
      </c>
      <c r="C102" s="70">
        <f t="array" ref="C102">IF(MOD(ROW()-ROW($B$12),3)=0,INDEX(BIODATA!C:C,INT((ROW()-ROW($B$12))/3)+24),"")</f>
        <v>0</v>
      </c>
      <c r="D102" s="71" t="str">
        <f t="array" ref="D102">IF(MOD(ROW()-ROW($B$12),3)=0,INDEX(BIODATA!D:D,INT((ROW()-ROW($B$12))/3)+24),"")</f>
        <v>WIBHY EVAN RAMADHAN</v>
      </c>
      <c r="E102" s="70" t="str">
        <f t="array" ref="E102">IF(MOD(ROW()-ROW($B$12),3)=0,INDEX(BIODATA!H:H,INT((ROW()-ROW($B$12))/3)+24),"")</f>
        <v>L</v>
      </c>
      <c r="F102" s="72" t="s">
        <v>134</v>
      </c>
      <c r="G102" s="73">
        <f t="array" ref="G102">IF(MOD(ROW()-ROW($G$12),3)=0,INDEX(RR!L:L,INT((ROW()-ROW($G$12))/3)+9),"")</f>
        <v>85</v>
      </c>
      <c r="H102" s="73">
        <f t="array" ref="H102">IF(MOD(ROW()-ROW($H$12),3)=0,INDEX(RR!R:R,INT((ROW()-ROW($H$12))/3)+9),"")</f>
        <v>89</v>
      </c>
      <c r="I102" s="73">
        <f t="array" ref="I102">IF(MOD(ROW()-ROW($I$12),3)=0,INDEX(RR!X:X,INT((ROW()-ROW($I$12))/3)+9),"")</f>
        <v>80</v>
      </c>
      <c r="J102" s="73">
        <f t="array" ref="J102">IF(MOD(ROW()-ROW($I$12),3)=0,INDEX(RR!AC:AC,INT((ROW()-ROW($I$12))/3)+9),"")</f>
        <v>86</v>
      </c>
      <c r="K102" s="73">
        <f t="array" ref="K102">IF(MOD(ROW()-ROW($I$12),3)=0,INDEX(RR!AH:AH,INT((ROW()-ROW($I$12))/3)+9),"")</f>
        <v>87</v>
      </c>
      <c r="L102" s="73">
        <f t="array" ref="L102">IF(MOD(ROW()-ROW($I$12),3)=0,INDEX(RR!AK:AK,INT((ROW()-ROW($I$12))/3)+9),"")</f>
        <v>88</v>
      </c>
      <c r="M102" s="73">
        <f t="array" ref="M102">IF(MOD(ROW()-ROW($I$12),3)=0,INDEX(RR!AQ:AQ,INT((ROW()-ROW($I$12))/3)+9),"")</f>
        <v>85</v>
      </c>
      <c r="N102" s="73">
        <f t="array" ref="N102">IF(MOD(ROW()-ROW($I$12),3)=0,INDEX(RR!AW:AW,INT((ROW()-ROW($I$12))/3)+9),"")</f>
        <v>80</v>
      </c>
      <c r="O102" s="73">
        <f t="array" ref="O102">IF(MOD(ROW()-ROW($I$12),3)=0,INDEX(RR!BB:BB,INT((ROW()-ROW($I$12))/3)+9),"")</f>
        <v>0</v>
      </c>
      <c r="P102" s="73">
        <f t="array" ref="P102">IF(MOD(ROW()-ROW($I$12),3)=0,INDEX(RR!BF:BF,INT((ROW()-ROW($I$12))/3)+9),"")</f>
        <v>86.333333333333343</v>
      </c>
      <c r="Q102" s="73">
        <f t="array" ref="Q102">IF(MOD(ROW()-ROW($I$12),3)=0,INDEX(RR!BI:BI,INT((ROW()-ROW($I$12))/3)+9),"")</f>
        <v>82</v>
      </c>
      <c r="R102" s="73">
        <f t="array" ref="R102">IF(MOD(ROW()-ROW($I$12),3)=0,INDEX(RR!BL:BL,INT((ROW()-ROW($I$12))/3)+9),"")</f>
        <v>86.333333333333343</v>
      </c>
      <c r="S102" s="73" t="e">
        <f t="array" ref="S102">IF(MOD(ROW()-ROW($I$12),3)=0,INDEX(RR!BP:BP,INT((ROW()-ROW($I$12))/3)+9),"")</f>
        <v>#DIV/0!</v>
      </c>
      <c r="T102" s="73" t="e">
        <f t="array" ref="T102">IF(MOD(ROW()-ROW($I$12),3)=0,INDEX(RR!BT:BT,INT((ROW()-ROW($I$12))/3)+9),"")</f>
        <v>#DIV/0!</v>
      </c>
      <c r="U102" s="73">
        <f t="array" ref="U102">IF(MOD(ROW()-ROW($I$12),3)=0,INDEX(RR!BV:BV,INT((ROW()-ROW($I$12))/3)+9),"")</f>
        <v>0</v>
      </c>
      <c r="V102" s="73" t="e">
        <f t="array" ref="V102">IF(MOD(ROW()-ROW($I$12),3)=0,INDEX(RR!BZ:BZ,INT((ROW()-ROW($I$12))/3)+9),"")</f>
        <v>#DIV/0!</v>
      </c>
      <c r="W102" s="73" t="e">
        <f t="shared" ref="W102:W103" si="91">IF(MOD(ROW()-ROW($W$12),3)&lt;&gt;2,SUM(G102:V102),"")</f>
        <v>#DIV/0!</v>
      </c>
      <c r="X102" s="73" t="e">
        <f>IF(MOD(ROW()-ROW($X$12),3)&lt;&gt;2,ROUND(W102/16,2),"")</f>
        <v>#DIV/0!</v>
      </c>
      <c r="Y102" s="70"/>
      <c r="Z102" s="74" t="e">
        <f t="array" ref="Z102">IF(MOD(ROW()-ROW($Z$12),3)=0,IF(INDEX(X:X,ROW()+2)&gt;=$AC$9,"L","TL"),"")</f>
        <v>#DIV/0!</v>
      </c>
      <c r="AA102" s="56"/>
      <c r="AB102" s="56"/>
      <c r="AC102" s="56"/>
      <c r="AD102" s="56"/>
      <c r="AE102" s="56"/>
    </row>
    <row r="103" spans="1:31" ht="14.5">
      <c r="A103" s="70" t="str">
        <f t="shared" si="90"/>
        <v/>
      </c>
      <c r="B103" s="70" t="str">
        <f t="array" ref="B103">IF(MOD(ROW()-ROW($B$12),3)=0,INDEX(BIODATA!B:B,INT((ROW()-ROW($B$12))/3)+24),"")</f>
        <v/>
      </c>
      <c r="C103" s="70"/>
      <c r="D103" s="71"/>
      <c r="E103" s="70"/>
      <c r="F103" s="72" t="s">
        <v>105</v>
      </c>
      <c r="G103" s="73">
        <f t="array" ref="G103">IF(MOD(ROW()-ROW($G$12),3)=1,INDEX(PSAJ!F:F,INT((ROW()-ROW($G$12))/3)+8),"")</f>
        <v>0</v>
      </c>
      <c r="H103" s="73">
        <f t="array" ref="H103">IF(MOD(ROW()-ROW($G$12),3)=1,INDEX(PSAJ!G:G,INT((ROW()-ROW($G$12))/3)+8),"")</f>
        <v>0</v>
      </c>
      <c r="I103" s="73">
        <f t="array" ref="I103">IF(MOD(ROW()-ROW($G$12),3)=1,INDEX(PSAJ!H:H,INT((ROW()-ROW($G$12))/3)+8),"")</f>
        <v>0</v>
      </c>
      <c r="J103" s="73">
        <f t="array" ref="J103">IF(MOD(ROW()-ROW($G$12),3)=1,INDEX(PSAJ!I:I,INT((ROW()-ROW($G$12))/3)+8),"")</f>
        <v>0</v>
      </c>
      <c r="K103" s="73">
        <f t="array" ref="K103">IF(MOD(ROW()-ROW($G$12),3)=1,INDEX(PSAJ!J:J,INT((ROW()-ROW($G$12))/3)+8),"")</f>
        <v>0</v>
      </c>
      <c r="L103" s="73">
        <f t="array" ref="L103">IF(MOD(ROW()-ROW($G$12),3)=1,INDEX(PSAJ!K:K,INT((ROW()-ROW($G$12))/3)+8),"")</f>
        <v>0</v>
      </c>
      <c r="M103" s="73">
        <f t="array" ref="M103">IF(MOD(ROW()-ROW($G$12),3)=1,INDEX(PSAJ!L:L,INT((ROW()-ROW($G$12))/3)+8),"")</f>
        <v>0</v>
      </c>
      <c r="N103" s="73">
        <f t="array" ref="N103">IF(MOD(ROW()-ROW($G$12),3)=1,INDEX(PSAJ!M:M,INT((ROW()-ROW($G$12))/3)+8),"")</f>
        <v>0</v>
      </c>
      <c r="O103" s="73">
        <f t="array" ref="O103">IF(MOD(ROW()-ROW($G$12),3)=1,INDEX(PSAJ!N:N,INT((ROW()-ROW($G$12))/3)+8),"")</f>
        <v>0</v>
      </c>
      <c r="P103" s="73">
        <f t="array" ref="P103">IF(MOD(ROW()-ROW($G$12),3)=1,INDEX(PSAJ!O:O,INT((ROW()-ROW($G$12))/3)+8),"")</f>
        <v>0</v>
      </c>
      <c r="Q103" s="73">
        <f t="array" ref="Q103">IF(MOD(ROW()-ROW($G$12),3)=1,INDEX(PSAJ!P:P,INT((ROW()-ROW($G$12))/3)+8),"")</f>
        <v>0</v>
      </c>
      <c r="R103" s="73">
        <f t="array" ref="R103">IF(MOD(ROW()-ROW($G$12),3)=1,INDEX(PSAJ!Q:Q,INT((ROW()-ROW($G$12))/3)+8),"")</f>
        <v>0</v>
      </c>
      <c r="S103" s="73">
        <f t="array" ref="S103">IF(MOD(ROW()-ROW($G$12),3)=1,INDEX(PSAJ!R:R,INT((ROW()-ROW($G$12))/3)+8),"")</f>
        <v>0</v>
      </c>
      <c r="T103" s="73">
        <f t="array" ref="T103">IF(MOD(ROW()-ROW($G$12),3)=1,INDEX(PSAJ!S:S,INT((ROW()-ROW($G$12))/3)+8),"")</f>
        <v>0</v>
      </c>
      <c r="U103" s="73">
        <v>0</v>
      </c>
      <c r="V103" s="73">
        <f t="array" ref="V103">IF(MOD(ROW()-ROW($G$12),3)=1,INDEX(PSAJ!T:T,INT((ROW()-ROW($G$12))/3)+8),"")</f>
        <v>0</v>
      </c>
      <c r="W103" s="73">
        <f t="shared" si="91"/>
        <v>0</v>
      </c>
      <c r="X103" s="73">
        <f>IF(MOD(ROW()-ROW($X$12),3)&lt;&gt;2,ROUND(W103/15,2),"")</f>
        <v>0</v>
      </c>
      <c r="Y103" s="70"/>
      <c r="Z103" s="75"/>
      <c r="AA103" s="56"/>
      <c r="AB103" s="56"/>
      <c r="AC103" s="56"/>
      <c r="AD103" s="56"/>
      <c r="AE103" s="56"/>
    </row>
    <row r="104" spans="1:31" ht="14.5">
      <c r="A104" s="70"/>
      <c r="B104" s="70"/>
      <c r="C104" s="70"/>
      <c r="D104" s="71"/>
      <c r="E104" s="70"/>
      <c r="F104" s="76" t="s">
        <v>135</v>
      </c>
      <c r="G104" s="77">
        <f t="shared" ref="G104:T104" si="92">IF(MOD(ROW()-ROW($G$12),3)=2,((INDEX(G:G,ROW()-2)*$AC$4)+(INDEX(G:G,ROW()-1)*$AE$4))/$AD$5,"")</f>
        <v>42.5</v>
      </c>
      <c r="H104" s="77">
        <f t="shared" si="92"/>
        <v>44.5</v>
      </c>
      <c r="I104" s="77">
        <f t="shared" si="92"/>
        <v>40</v>
      </c>
      <c r="J104" s="77">
        <f t="shared" si="92"/>
        <v>43</v>
      </c>
      <c r="K104" s="77">
        <f t="shared" si="92"/>
        <v>43.5</v>
      </c>
      <c r="L104" s="77">
        <f t="shared" si="92"/>
        <v>44</v>
      </c>
      <c r="M104" s="77">
        <f t="shared" si="92"/>
        <v>42.5</v>
      </c>
      <c r="N104" s="77">
        <f t="shared" si="92"/>
        <v>40</v>
      </c>
      <c r="O104" s="77">
        <f t="shared" si="92"/>
        <v>0</v>
      </c>
      <c r="P104" s="77">
        <f t="shared" si="92"/>
        <v>43.166666666666671</v>
      </c>
      <c r="Q104" s="77">
        <f t="shared" si="92"/>
        <v>41</v>
      </c>
      <c r="R104" s="77">
        <f t="shared" si="92"/>
        <v>43.166666666666671</v>
      </c>
      <c r="S104" s="77" t="e">
        <f t="shared" si="92"/>
        <v>#DIV/0!</v>
      </c>
      <c r="T104" s="77" t="e">
        <f t="shared" si="92"/>
        <v>#DIV/0!</v>
      </c>
      <c r="U104" s="77">
        <f t="array" ref="U104">IF(MOD(ROW()-ROW($U$12),3)=2,N(INDEX(U:U,ROW()-2)),0)</f>
        <v>0</v>
      </c>
      <c r="V104" s="77" t="e">
        <f>IF(MOD(ROW()-ROW($G$12),3)=2,((INDEX(V:V,ROW()-2)*$AC$4)+(INDEX(V:V,ROW()-1)*$AE$4))/$AD$5,"")</f>
        <v>#DIV/0!</v>
      </c>
      <c r="W104" s="77" t="e">
        <f>IF(MOD(ROW()-ROW($G$12),3)=2,((INDEX(W:W,ROW()-2)*$AC$4)+(INDEX(W:W,ROW()-1)*$AE$4))/$AD$5,"")</f>
        <v>#DIV/0!</v>
      </c>
      <c r="X104" s="77" t="e">
        <f>IF(MOD(ROW()-ROW($G$12),3)=2,((INDEX(X:X,ROW()-2)*$AC$4)+(INDEX(X:X,ROW()-1)*$AE$4))/$AD$5,"")</f>
        <v>#DIV/0!</v>
      </c>
      <c r="Y104" s="78"/>
      <c r="Z104" s="77"/>
      <c r="AA104" s="56"/>
      <c r="AB104" s="56"/>
      <c r="AC104" s="56"/>
      <c r="AD104" s="56"/>
      <c r="AE104" s="56"/>
    </row>
    <row r="105" spans="1:31" ht="14.5">
      <c r="A105" s="70">
        <f t="shared" ref="A105:A106" si="93">IF(MOD(ROW()-12,3)=0,INT((ROW()-12)/3)+1,"")</f>
        <v>32</v>
      </c>
      <c r="B105" s="70">
        <f t="array" ref="B105">IF(MOD(ROW()-ROW($B$12),3)=0,INDEX(BIODATA!B:B,INT((ROW()-ROW($B$12))/3)+24),"")</f>
        <v>0</v>
      </c>
      <c r="C105" s="70">
        <f t="array" ref="C105">IF(MOD(ROW()-ROW($B$12),3)=0,INDEX(BIODATA!C:C,INT((ROW()-ROW($B$12))/3)+24),"")</f>
        <v>0</v>
      </c>
      <c r="D105" s="71" t="str">
        <f t="array" ref="D105">IF(MOD(ROW()-ROW($B$12),3)=0,INDEX(BIODATA!D:D,INT((ROW()-ROW($B$12))/3)+24),"")</f>
        <v>ZAKKI FAJAR ANANTA</v>
      </c>
      <c r="E105" s="70" t="str">
        <f t="array" ref="E105">IF(MOD(ROW()-ROW($B$12),3)=0,INDEX(BIODATA!H:H,INT((ROW()-ROW($B$12))/3)+24),"")</f>
        <v>L</v>
      </c>
      <c r="F105" s="72" t="s">
        <v>134</v>
      </c>
      <c r="G105" s="73">
        <f t="array" ref="G105">IF(MOD(ROW()-ROW($G$12),3)=0,INDEX(RR!L:L,INT((ROW()-ROW($G$12))/3)+9),"")</f>
        <v>80</v>
      </c>
      <c r="H105" s="73">
        <f t="array" ref="H105">IF(MOD(ROW()-ROW($H$12),3)=0,INDEX(RR!R:R,INT((ROW()-ROW($H$12))/3)+9),"")</f>
        <v>78</v>
      </c>
      <c r="I105" s="73">
        <f t="array" ref="I105">IF(MOD(ROW()-ROW($I$12),3)=0,INDEX(RR!X:X,INT((ROW()-ROW($I$12))/3)+9),"")</f>
        <v>82</v>
      </c>
      <c r="J105" s="73">
        <f t="array" ref="J105">IF(MOD(ROW()-ROW($I$12),3)=0,INDEX(RR!AC:AC,INT((ROW()-ROW($I$12))/3)+9),"")</f>
        <v>88</v>
      </c>
      <c r="K105" s="73">
        <f t="array" ref="K105">IF(MOD(ROW()-ROW($I$12),3)=0,INDEX(RR!AH:AH,INT((ROW()-ROW($I$12))/3)+9),"")</f>
        <v>82</v>
      </c>
      <c r="L105" s="73">
        <f t="array" ref="L105">IF(MOD(ROW()-ROW($I$12),3)=0,INDEX(RR!AK:AK,INT((ROW()-ROW($I$12))/3)+9),"")</f>
        <v>85</v>
      </c>
      <c r="M105" s="73">
        <f t="array" ref="M105">IF(MOD(ROW()-ROW($I$12),3)=0,INDEX(RR!AQ:AQ,INT((ROW()-ROW($I$12))/3)+9),"")</f>
        <v>80</v>
      </c>
      <c r="N105" s="73">
        <f t="array" ref="N105">IF(MOD(ROW()-ROW($I$12),3)=0,INDEX(RR!AW:AW,INT((ROW()-ROW($I$12))/3)+9),"")</f>
        <v>79</v>
      </c>
      <c r="O105" s="73">
        <f t="array" ref="O105">IF(MOD(ROW()-ROW($I$12),3)=0,INDEX(RR!BB:BB,INT((ROW()-ROW($I$12))/3)+9),"")</f>
        <v>0</v>
      </c>
      <c r="P105" s="73">
        <f t="array" ref="P105">IF(MOD(ROW()-ROW($I$12),3)=0,INDEX(RR!BF:BF,INT((ROW()-ROW($I$12))/3)+9),"")</f>
        <v>78</v>
      </c>
      <c r="Q105" s="73">
        <f t="array" ref="Q105">IF(MOD(ROW()-ROW($I$12),3)=0,INDEX(RR!BI:BI,INT((ROW()-ROW($I$12))/3)+9),"")</f>
        <v>82</v>
      </c>
      <c r="R105" s="73">
        <f t="array" ref="R105">IF(MOD(ROW()-ROW($I$12),3)=0,INDEX(RR!BL:BL,INT((ROW()-ROW($I$12))/3)+9),"")</f>
        <v>78</v>
      </c>
      <c r="S105" s="73" t="e">
        <f t="array" ref="S105">IF(MOD(ROW()-ROW($I$12),3)=0,INDEX(RR!BP:BP,INT((ROW()-ROW($I$12))/3)+9),"")</f>
        <v>#DIV/0!</v>
      </c>
      <c r="T105" s="73" t="e">
        <f t="array" ref="T105">IF(MOD(ROW()-ROW($I$12),3)=0,INDEX(RR!BT:BT,INT((ROW()-ROW($I$12))/3)+9),"")</f>
        <v>#DIV/0!</v>
      </c>
      <c r="U105" s="73">
        <f t="array" ref="U105">IF(MOD(ROW()-ROW($I$12),3)=0,INDEX(RR!BV:BV,INT((ROW()-ROW($I$12))/3)+9),"")</f>
        <v>0</v>
      </c>
      <c r="V105" s="73" t="e">
        <f t="array" ref="V105">IF(MOD(ROW()-ROW($I$12),3)=0,INDEX(RR!BZ:BZ,INT((ROW()-ROW($I$12))/3)+9),"")</f>
        <v>#DIV/0!</v>
      </c>
      <c r="W105" s="73" t="e">
        <f t="shared" ref="W105:W106" si="94">IF(MOD(ROW()-ROW($W$12),3)&lt;&gt;2,SUM(G105:V105),"")</f>
        <v>#DIV/0!</v>
      </c>
      <c r="X105" s="73" t="e">
        <f>IF(MOD(ROW()-ROW($X$12),3)&lt;&gt;2,ROUND(W105/16,2),"")</f>
        <v>#DIV/0!</v>
      </c>
      <c r="Y105" s="70"/>
      <c r="Z105" s="74" t="e">
        <f t="array" ref="Z105">IF(MOD(ROW()-ROW($Z$12),3)=0,IF(INDEX(X:X,ROW()+2)&gt;=$AC$9,"L","TL"),"")</f>
        <v>#DIV/0!</v>
      </c>
      <c r="AA105" s="56"/>
      <c r="AB105" s="56"/>
      <c r="AC105" s="56"/>
      <c r="AD105" s="56"/>
      <c r="AE105" s="56"/>
    </row>
    <row r="106" spans="1:31" ht="14.5">
      <c r="A106" s="70" t="str">
        <f t="shared" si="93"/>
        <v/>
      </c>
      <c r="B106" s="70" t="str">
        <f t="array" ref="B106">IF(MOD(ROW()-ROW($B$12),3)=0,INDEX(BIODATA!B:B,INT((ROW()-ROW($B$12))/3)+24),"")</f>
        <v/>
      </c>
      <c r="C106" s="70"/>
      <c r="D106" s="71"/>
      <c r="E106" s="70"/>
      <c r="F106" s="72" t="s">
        <v>105</v>
      </c>
      <c r="G106" s="73">
        <f t="array" ref="G106">IF(MOD(ROW()-ROW($G$12),3)=1,INDEX(PSAJ!F:F,INT((ROW()-ROW($G$12))/3)+8),"")</f>
        <v>0</v>
      </c>
      <c r="H106" s="73">
        <f t="array" ref="H106">IF(MOD(ROW()-ROW($G$12),3)=1,INDEX(PSAJ!G:G,INT((ROW()-ROW($G$12))/3)+8),"")</f>
        <v>0</v>
      </c>
      <c r="I106" s="73">
        <f t="array" ref="I106">IF(MOD(ROW()-ROW($G$12),3)=1,INDEX(PSAJ!H:H,INT((ROW()-ROW($G$12))/3)+8),"")</f>
        <v>0</v>
      </c>
      <c r="J106" s="73">
        <f t="array" ref="J106">IF(MOD(ROW()-ROW($G$12),3)=1,INDEX(PSAJ!I:I,INT((ROW()-ROW($G$12))/3)+8),"")</f>
        <v>0</v>
      </c>
      <c r="K106" s="73">
        <f t="array" ref="K106">IF(MOD(ROW()-ROW($G$12),3)=1,INDEX(PSAJ!J:J,INT((ROW()-ROW($G$12))/3)+8),"")</f>
        <v>0</v>
      </c>
      <c r="L106" s="73">
        <f t="array" ref="L106">IF(MOD(ROW()-ROW($G$12),3)=1,INDEX(PSAJ!K:K,INT((ROW()-ROW($G$12))/3)+8),"")</f>
        <v>0</v>
      </c>
      <c r="M106" s="73">
        <f t="array" ref="M106">IF(MOD(ROW()-ROW($G$12),3)=1,INDEX(PSAJ!L:L,INT((ROW()-ROW($G$12))/3)+8),"")</f>
        <v>0</v>
      </c>
      <c r="N106" s="73">
        <f t="array" ref="N106">IF(MOD(ROW()-ROW($G$12),3)=1,INDEX(PSAJ!M:M,INT((ROW()-ROW($G$12))/3)+8),"")</f>
        <v>0</v>
      </c>
      <c r="O106" s="73">
        <f t="array" ref="O106">IF(MOD(ROW()-ROW($G$12),3)=1,INDEX(PSAJ!N:N,INT((ROW()-ROW($G$12))/3)+8),"")</f>
        <v>0</v>
      </c>
      <c r="P106" s="73">
        <f t="array" ref="P106">IF(MOD(ROW()-ROW($G$12),3)=1,INDEX(PSAJ!O:O,INT((ROW()-ROW($G$12))/3)+8),"")</f>
        <v>0</v>
      </c>
      <c r="Q106" s="73">
        <f t="array" ref="Q106">IF(MOD(ROW()-ROW($G$12),3)=1,INDEX(PSAJ!P:P,INT((ROW()-ROW($G$12))/3)+8),"")</f>
        <v>0</v>
      </c>
      <c r="R106" s="73">
        <f t="array" ref="R106">IF(MOD(ROW()-ROW($G$12),3)=1,INDEX(PSAJ!Q:Q,INT((ROW()-ROW($G$12))/3)+8),"")</f>
        <v>0</v>
      </c>
      <c r="S106" s="73">
        <f t="array" ref="S106">IF(MOD(ROW()-ROW($G$12),3)=1,INDEX(PSAJ!R:R,INT((ROW()-ROW($G$12))/3)+8),"")</f>
        <v>0</v>
      </c>
      <c r="T106" s="73">
        <f t="array" ref="T106">IF(MOD(ROW()-ROW($G$12),3)=1,INDEX(PSAJ!S:S,INT((ROW()-ROW($G$12))/3)+8),"")</f>
        <v>0</v>
      </c>
      <c r="U106" s="73">
        <v>0</v>
      </c>
      <c r="V106" s="73">
        <f t="array" ref="V106">IF(MOD(ROW()-ROW($G$12),3)=1,INDEX(PSAJ!T:T,INT((ROW()-ROW($G$12))/3)+8),"")</f>
        <v>0</v>
      </c>
      <c r="W106" s="73">
        <f t="shared" si="94"/>
        <v>0</v>
      </c>
      <c r="X106" s="73">
        <f>IF(MOD(ROW()-ROW($X$12),3)&lt;&gt;2,ROUND(W106/15,2),"")</f>
        <v>0</v>
      </c>
      <c r="Y106" s="70"/>
      <c r="Z106" s="75"/>
      <c r="AA106" s="56"/>
      <c r="AB106" s="56"/>
      <c r="AC106" s="56"/>
      <c r="AD106" s="56"/>
      <c r="AE106" s="56"/>
    </row>
    <row r="107" spans="1:31" ht="14.5">
      <c r="A107" s="70"/>
      <c r="B107" s="70"/>
      <c r="C107" s="70"/>
      <c r="D107" s="71"/>
      <c r="E107" s="70"/>
      <c r="F107" s="76" t="s">
        <v>135</v>
      </c>
      <c r="G107" s="77">
        <f t="shared" ref="G107:T107" si="95">IF(MOD(ROW()-ROW($G$12),3)=2,((INDEX(G:G,ROW()-2)*$AC$4)+(INDEX(G:G,ROW()-1)*$AE$4))/$AD$5,"")</f>
        <v>40</v>
      </c>
      <c r="H107" s="77">
        <f t="shared" si="95"/>
        <v>39</v>
      </c>
      <c r="I107" s="77">
        <f t="shared" si="95"/>
        <v>41</v>
      </c>
      <c r="J107" s="77">
        <f t="shared" si="95"/>
        <v>44</v>
      </c>
      <c r="K107" s="77">
        <f t="shared" si="95"/>
        <v>41</v>
      </c>
      <c r="L107" s="77">
        <f t="shared" si="95"/>
        <v>42.5</v>
      </c>
      <c r="M107" s="77">
        <f t="shared" si="95"/>
        <v>40</v>
      </c>
      <c r="N107" s="77">
        <f t="shared" si="95"/>
        <v>39.5</v>
      </c>
      <c r="O107" s="77">
        <f t="shared" si="95"/>
        <v>0</v>
      </c>
      <c r="P107" s="77">
        <f t="shared" si="95"/>
        <v>39</v>
      </c>
      <c r="Q107" s="77">
        <f t="shared" si="95"/>
        <v>41</v>
      </c>
      <c r="R107" s="77">
        <f t="shared" si="95"/>
        <v>39</v>
      </c>
      <c r="S107" s="77" t="e">
        <f t="shared" si="95"/>
        <v>#DIV/0!</v>
      </c>
      <c r="T107" s="77" t="e">
        <f t="shared" si="95"/>
        <v>#DIV/0!</v>
      </c>
      <c r="U107" s="77">
        <f t="array" ref="U107">IF(MOD(ROW()-ROW($U$12),3)=2,N(INDEX(U:U,ROW()-2)),0)</f>
        <v>0</v>
      </c>
      <c r="V107" s="77" t="e">
        <f>IF(MOD(ROW()-ROW($G$12),3)=2,((INDEX(V:V,ROW()-2)*$AC$4)+(INDEX(V:V,ROW()-1)*$AE$4))/$AD$5,"")</f>
        <v>#DIV/0!</v>
      </c>
      <c r="W107" s="77" t="e">
        <f>IF(MOD(ROW()-ROW($G$12),3)=2,((INDEX(W:W,ROW()-2)*$AC$4)+(INDEX(W:W,ROW()-1)*$AE$4))/$AD$5,"")</f>
        <v>#DIV/0!</v>
      </c>
      <c r="X107" s="77" t="e">
        <f>IF(MOD(ROW()-ROW($G$12),3)=2,((INDEX(X:X,ROW()-2)*$AC$4)+(INDEX(X:X,ROW()-1)*$AE$4))/$AD$5,"")</f>
        <v>#DIV/0!</v>
      </c>
      <c r="Y107" s="78"/>
      <c r="Z107" s="77"/>
      <c r="AA107" s="56"/>
      <c r="AB107" s="56"/>
      <c r="AC107" s="56"/>
      <c r="AD107" s="56"/>
      <c r="AE107" s="56"/>
    </row>
    <row r="108" spans="1:31" ht="14.5">
      <c r="A108" s="70">
        <f t="shared" ref="A108:A109" si="96">IF(MOD(ROW()-12,3)=0,INT((ROW()-12)/3)+1,"")</f>
        <v>33</v>
      </c>
      <c r="B108" s="70">
        <f t="array" ref="B108">IF(MOD(ROW()-ROW($B$12),3)=0,INDEX(BIODATA!B:B,INT((ROW()-ROW($B$12))/3)+24),"")</f>
        <v>0</v>
      </c>
      <c r="C108" s="70">
        <f t="array" ref="C108">IF(MOD(ROW()-ROW($B$12),3)=0,INDEX(BIODATA!C:C,INT((ROW()-ROW($B$12))/3)+24),"")</f>
        <v>0</v>
      </c>
      <c r="D108" s="71">
        <f t="array" ref="D108">IF(MOD(ROW()-ROW($B$12),3)=0,INDEX(BIODATA!D:D,INT((ROW()-ROW($B$12))/3)+24),"")</f>
        <v>0</v>
      </c>
      <c r="E108" s="70" t="str">
        <f t="array" ref="E108">IF(MOD(ROW()-ROW($B$12),3)=0,INDEX(BIODATA!H:H,INT((ROW()-ROW($B$12))/3)+24),"")</f>
        <v>L</v>
      </c>
      <c r="F108" s="72" t="s">
        <v>134</v>
      </c>
      <c r="G108" s="73" t="e">
        <f t="array" ref="G108">IF(MOD(ROW()-ROW($G$12),3)=0,INDEX(RR!L:L,INT((ROW()-ROW($G$12))/3)+9),"")</f>
        <v>#DIV/0!</v>
      </c>
      <c r="H108" s="73" t="e">
        <f t="array" ref="H108">IF(MOD(ROW()-ROW($H$12),3)=0,INDEX(RR!R:R,INT((ROW()-ROW($H$12))/3)+9),"")</f>
        <v>#DIV/0!</v>
      </c>
      <c r="I108" s="73" t="e">
        <f t="array" ref="I108">IF(MOD(ROW()-ROW($I$12),3)=0,INDEX(RR!X:X,INT((ROW()-ROW($I$12))/3)+9),"")</f>
        <v>#DIV/0!</v>
      </c>
      <c r="J108" s="73" t="e">
        <f t="array" ref="J108">IF(MOD(ROW()-ROW($I$12),3)=0,INDEX(RR!AC:AC,INT((ROW()-ROW($I$12))/3)+9),"")</f>
        <v>#DIV/0!</v>
      </c>
      <c r="K108" s="73" t="e">
        <f t="array" ref="K108">IF(MOD(ROW()-ROW($I$12),3)=0,INDEX(RR!AH:AH,INT((ROW()-ROW($I$12))/3)+9),"")</f>
        <v>#DIV/0!</v>
      </c>
      <c r="L108" s="73" t="e">
        <f t="array" ref="L108">IF(MOD(ROW()-ROW($I$12),3)=0,INDEX(RR!AK:AK,INT((ROW()-ROW($I$12))/3)+9),"")</f>
        <v>#DIV/0!</v>
      </c>
      <c r="M108" s="73" t="e">
        <f t="array" ref="M108">IF(MOD(ROW()-ROW($I$12),3)=0,INDEX(RR!AQ:AQ,INT((ROW()-ROW($I$12))/3)+9),"")</f>
        <v>#DIV/0!</v>
      </c>
      <c r="N108" s="73" t="e">
        <f t="array" ref="N108">IF(MOD(ROW()-ROW($I$12),3)=0,INDEX(RR!AW:AW,INT((ROW()-ROW($I$12))/3)+9),"")</f>
        <v>#DIV/0!</v>
      </c>
      <c r="O108" s="73">
        <f t="array" ref="O108">IF(MOD(ROW()-ROW($I$12),3)=0,INDEX(RR!BB:BB,INT((ROW()-ROW($I$12))/3)+9),"")</f>
        <v>0</v>
      </c>
      <c r="P108" s="73" t="e">
        <f t="array" ref="P108">IF(MOD(ROW()-ROW($I$12),3)=0,INDEX(RR!BF:BF,INT((ROW()-ROW($I$12))/3)+9),"")</f>
        <v>#DIV/0!</v>
      </c>
      <c r="Q108" s="73" t="e">
        <f t="array" ref="Q108">IF(MOD(ROW()-ROW($I$12),3)=0,INDEX(RR!BI:BI,INT((ROW()-ROW($I$12))/3)+9),"")</f>
        <v>#DIV/0!</v>
      </c>
      <c r="R108" s="73" t="e">
        <f t="array" ref="R108">IF(MOD(ROW()-ROW($I$12),3)=0,INDEX(RR!BL:BL,INT((ROW()-ROW($I$12))/3)+9),"")</f>
        <v>#DIV/0!</v>
      </c>
      <c r="S108" s="73" t="e">
        <f t="array" ref="S108">IF(MOD(ROW()-ROW($I$12),3)=0,INDEX(RR!BP:BP,INT((ROW()-ROW($I$12))/3)+9),"")</f>
        <v>#DIV/0!</v>
      </c>
      <c r="T108" s="73" t="e">
        <f t="array" ref="T108">IF(MOD(ROW()-ROW($I$12),3)=0,INDEX(RR!BT:BT,INT((ROW()-ROW($I$12))/3)+9),"")</f>
        <v>#DIV/0!</v>
      </c>
      <c r="U108" s="73">
        <f t="array" ref="U108">IF(MOD(ROW()-ROW($I$12),3)=0,INDEX(RR!BV:BV,INT((ROW()-ROW($I$12))/3)+9),"")</f>
        <v>0</v>
      </c>
      <c r="V108" s="73" t="e">
        <f t="array" ref="V108">IF(MOD(ROW()-ROW($I$12),3)=0,INDEX(RR!BZ:BZ,INT((ROW()-ROW($I$12))/3)+9),"")</f>
        <v>#DIV/0!</v>
      </c>
      <c r="W108" s="73" t="e">
        <f t="shared" ref="W108:W109" si="97">IF(MOD(ROW()-ROW($W$12),3)&lt;&gt;2,SUM(G108:V108),"")</f>
        <v>#DIV/0!</v>
      </c>
      <c r="X108" s="73" t="e">
        <f>IF(MOD(ROW()-ROW($X$12),3)&lt;&gt;2,ROUND(W108/16,2),"")</f>
        <v>#DIV/0!</v>
      </c>
      <c r="Y108" s="70"/>
      <c r="Z108" s="74" t="e">
        <f t="array" ref="Z108">IF(MOD(ROW()-ROW($Z$12),3)=0,IF(INDEX(X:X,ROW()+2)&gt;=$AC$9,"L","TL"),"")</f>
        <v>#DIV/0!</v>
      </c>
      <c r="AA108" s="56"/>
      <c r="AB108" s="56"/>
      <c r="AC108" s="56"/>
      <c r="AD108" s="56"/>
      <c r="AE108" s="56"/>
    </row>
    <row r="109" spans="1:31" ht="14.5">
      <c r="A109" s="70" t="str">
        <f t="shared" si="96"/>
        <v/>
      </c>
      <c r="B109" s="70" t="str">
        <f t="array" ref="B109">IF(MOD(ROW()-ROW($B$12),3)=0,INDEX(BIODATA!B:B,INT((ROW()-ROW($B$12))/3)+24),"")</f>
        <v/>
      </c>
      <c r="C109" s="70"/>
      <c r="D109" s="71"/>
      <c r="E109" s="70"/>
      <c r="F109" s="72" t="s">
        <v>105</v>
      </c>
      <c r="G109" s="73">
        <f t="array" ref="G109">IF(MOD(ROW()-ROW($G$12),3)=1,INDEX(PSAJ!F:F,INT((ROW()-ROW($G$12))/3)+8),"")</f>
        <v>0</v>
      </c>
      <c r="H109" s="73">
        <f t="array" ref="H109">IF(MOD(ROW()-ROW($G$12),3)=1,INDEX(PSAJ!G:G,INT((ROW()-ROW($G$12))/3)+8),"")</f>
        <v>0</v>
      </c>
      <c r="I109" s="73">
        <f t="array" ref="I109">IF(MOD(ROW()-ROW($G$12),3)=1,INDEX(PSAJ!H:H,INT((ROW()-ROW($G$12))/3)+8),"")</f>
        <v>0</v>
      </c>
      <c r="J109" s="73">
        <f t="array" ref="J109">IF(MOD(ROW()-ROW($G$12),3)=1,INDEX(PSAJ!I:I,INT((ROW()-ROW($G$12))/3)+8),"")</f>
        <v>0</v>
      </c>
      <c r="K109" s="73">
        <f t="array" ref="K109">IF(MOD(ROW()-ROW($G$12),3)=1,INDEX(PSAJ!J:J,INT((ROW()-ROW($G$12))/3)+8),"")</f>
        <v>0</v>
      </c>
      <c r="L109" s="73">
        <f t="array" ref="L109">IF(MOD(ROW()-ROW($G$12),3)=1,INDEX(PSAJ!K:K,INT((ROW()-ROW($G$12))/3)+8),"")</f>
        <v>0</v>
      </c>
      <c r="M109" s="73">
        <f t="array" ref="M109">IF(MOD(ROW()-ROW($G$12),3)=1,INDEX(PSAJ!L:L,INT((ROW()-ROW($G$12))/3)+8),"")</f>
        <v>0</v>
      </c>
      <c r="N109" s="73">
        <f t="array" ref="N109">IF(MOD(ROW()-ROW($G$12),3)=1,INDEX(PSAJ!M:M,INT((ROW()-ROW($G$12))/3)+8),"")</f>
        <v>0</v>
      </c>
      <c r="O109" s="73">
        <f t="array" ref="O109">IF(MOD(ROW()-ROW($G$12),3)=1,INDEX(PSAJ!N:N,INT((ROW()-ROW($G$12))/3)+8),"")</f>
        <v>0</v>
      </c>
      <c r="P109" s="73">
        <f t="array" ref="P109">IF(MOD(ROW()-ROW($G$12),3)=1,INDEX(PSAJ!O:O,INT((ROW()-ROW($G$12))/3)+8),"")</f>
        <v>0</v>
      </c>
      <c r="Q109" s="73">
        <f t="array" ref="Q109">IF(MOD(ROW()-ROW($G$12),3)=1,INDEX(PSAJ!P:P,INT((ROW()-ROW($G$12))/3)+8),"")</f>
        <v>0</v>
      </c>
      <c r="R109" s="73">
        <f t="array" ref="R109">IF(MOD(ROW()-ROW($G$12),3)=1,INDEX(PSAJ!Q:Q,INT((ROW()-ROW($G$12))/3)+8),"")</f>
        <v>0</v>
      </c>
      <c r="S109" s="73">
        <f t="array" ref="S109">IF(MOD(ROW()-ROW($G$12),3)=1,INDEX(PSAJ!R:R,INT((ROW()-ROW($G$12))/3)+8),"")</f>
        <v>0</v>
      </c>
      <c r="T109" s="73">
        <f t="array" ref="T109">IF(MOD(ROW()-ROW($G$12),3)=1,INDEX(PSAJ!S:S,INT((ROW()-ROW($G$12))/3)+8),"")</f>
        <v>0</v>
      </c>
      <c r="U109" s="73">
        <v>0</v>
      </c>
      <c r="V109" s="73">
        <f t="array" ref="V109">IF(MOD(ROW()-ROW($G$12),3)=1,INDEX(PSAJ!T:T,INT((ROW()-ROW($G$12))/3)+8),"")</f>
        <v>0</v>
      </c>
      <c r="W109" s="73">
        <f t="shared" si="97"/>
        <v>0</v>
      </c>
      <c r="X109" s="73">
        <f>IF(MOD(ROW()-ROW($X$12),3)&lt;&gt;2,ROUND(W109/15,2),"")</f>
        <v>0</v>
      </c>
      <c r="Y109" s="70"/>
      <c r="Z109" s="75"/>
      <c r="AA109" s="56"/>
      <c r="AB109" s="56"/>
      <c r="AC109" s="56"/>
      <c r="AD109" s="56"/>
      <c r="AE109" s="56"/>
    </row>
    <row r="110" spans="1:31" ht="14.5">
      <c r="A110" s="70"/>
      <c r="B110" s="70"/>
      <c r="C110" s="70"/>
      <c r="D110" s="71"/>
      <c r="E110" s="70"/>
      <c r="F110" s="76" t="s">
        <v>135</v>
      </c>
      <c r="G110" s="77" t="e">
        <f t="shared" ref="G110:T110" si="98">IF(MOD(ROW()-ROW($G$12),3)=2,((INDEX(G:G,ROW()-2)*$AC$4)+(INDEX(G:G,ROW()-1)*$AE$4))/$AD$5,"")</f>
        <v>#DIV/0!</v>
      </c>
      <c r="H110" s="77" t="e">
        <f t="shared" si="98"/>
        <v>#DIV/0!</v>
      </c>
      <c r="I110" s="77" t="e">
        <f t="shared" si="98"/>
        <v>#DIV/0!</v>
      </c>
      <c r="J110" s="77" t="e">
        <f t="shared" si="98"/>
        <v>#DIV/0!</v>
      </c>
      <c r="K110" s="77" t="e">
        <f t="shared" si="98"/>
        <v>#DIV/0!</v>
      </c>
      <c r="L110" s="77" t="e">
        <f t="shared" si="98"/>
        <v>#DIV/0!</v>
      </c>
      <c r="M110" s="77" t="e">
        <f t="shared" si="98"/>
        <v>#DIV/0!</v>
      </c>
      <c r="N110" s="77" t="e">
        <f t="shared" si="98"/>
        <v>#DIV/0!</v>
      </c>
      <c r="O110" s="77">
        <f t="shared" si="98"/>
        <v>0</v>
      </c>
      <c r="P110" s="77" t="e">
        <f t="shared" si="98"/>
        <v>#DIV/0!</v>
      </c>
      <c r="Q110" s="77" t="e">
        <f t="shared" si="98"/>
        <v>#DIV/0!</v>
      </c>
      <c r="R110" s="77" t="e">
        <f t="shared" si="98"/>
        <v>#DIV/0!</v>
      </c>
      <c r="S110" s="77" t="e">
        <f t="shared" si="98"/>
        <v>#DIV/0!</v>
      </c>
      <c r="T110" s="77" t="e">
        <f t="shared" si="98"/>
        <v>#DIV/0!</v>
      </c>
      <c r="U110" s="77">
        <f t="array" ref="U110">IF(MOD(ROW()-ROW($U$12),3)=2,N(INDEX(U:U,ROW()-2)),0)</f>
        <v>0</v>
      </c>
      <c r="V110" s="77" t="e">
        <f>IF(MOD(ROW()-ROW($G$12),3)=2,((INDEX(V:V,ROW()-2)*$AC$4)+(INDEX(V:V,ROW()-1)*$AE$4))/$AD$5,"")</f>
        <v>#DIV/0!</v>
      </c>
      <c r="W110" s="77" t="e">
        <f>IF(MOD(ROW()-ROW($G$12),3)=2,((INDEX(W:W,ROW()-2)*$AC$4)+(INDEX(W:W,ROW()-1)*$AE$4))/$AD$5,"")</f>
        <v>#DIV/0!</v>
      </c>
      <c r="X110" s="77" t="e">
        <f>IF(MOD(ROW()-ROW($G$12),3)=2,((INDEX(X:X,ROW()-2)*$AC$4)+(INDEX(X:X,ROW()-1)*$AE$4))/$AD$5,"")</f>
        <v>#DIV/0!</v>
      </c>
      <c r="Y110" s="78"/>
      <c r="Z110" s="77"/>
      <c r="AA110" s="56"/>
      <c r="AB110" s="56"/>
      <c r="AC110" s="56"/>
      <c r="AD110" s="56"/>
      <c r="AE110" s="56"/>
    </row>
    <row r="111" spans="1:31" ht="14.5">
      <c r="A111" s="70">
        <f t="shared" ref="A111:A112" si="99">IF(MOD(ROW()-12,3)=0,INT((ROW()-12)/3)+1,"")</f>
        <v>34</v>
      </c>
      <c r="B111" s="70">
        <f t="array" ref="B111">IF(MOD(ROW()-ROW($B$12),3)=0,INDEX(BIODATA!B:B,INT((ROW()-ROW($B$12))/3)+24),"")</f>
        <v>0</v>
      </c>
      <c r="C111" s="70">
        <f t="array" ref="C111">IF(MOD(ROW()-ROW($B$12),3)=0,INDEX(BIODATA!C:C,INT((ROW()-ROW($B$12))/3)+24),"")</f>
        <v>0</v>
      </c>
      <c r="D111" s="71">
        <f t="array" ref="D111">IF(MOD(ROW()-ROW($B$12),3)=0,INDEX(BIODATA!D:D,INT((ROW()-ROW($B$12))/3)+24),"")</f>
        <v>0</v>
      </c>
      <c r="E111" s="70" t="str">
        <f t="array" ref="E111">IF(MOD(ROW()-ROW($B$12),3)=0,INDEX(BIODATA!H:H,INT((ROW()-ROW($B$12))/3)+24),"")</f>
        <v>L</v>
      </c>
      <c r="F111" s="72" t="s">
        <v>134</v>
      </c>
      <c r="G111" s="73" t="e">
        <f t="array" ref="G111">IF(MOD(ROW()-ROW($G$12),3)=0,INDEX(RR!L:L,INT((ROW()-ROW($G$12))/3)+9),"")</f>
        <v>#DIV/0!</v>
      </c>
      <c r="H111" s="73" t="e">
        <f t="array" ref="H111">IF(MOD(ROW()-ROW($H$12),3)=0,INDEX(RR!R:R,INT((ROW()-ROW($H$12))/3)+9),"")</f>
        <v>#DIV/0!</v>
      </c>
      <c r="I111" s="73" t="e">
        <f t="array" ref="I111">IF(MOD(ROW()-ROW($I$12),3)=0,INDEX(RR!X:X,INT((ROW()-ROW($I$12))/3)+9),"")</f>
        <v>#DIV/0!</v>
      </c>
      <c r="J111" s="73" t="e">
        <f t="array" ref="J111">IF(MOD(ROW()-ROW($I$12),3)=0,INDEX(RR!AC:AC,INT((ROW()-ROW($I$12))/3)+9),"")</f>
        <v>#DIV/0!</v>
      </c>
      <c r="K111" s="73" t="e">
        <f t="array" ref="K111">IF(MOD(ROW()-ROW($I$12),3)=0,INDEX(RR!AH:AH,INT((ROW()-ROW($I$12))/3)+9),"")</f>
        <v>#DIV/0!</v>
      </c>
      <c r="L111" s="73" t="e">
        <f t="array" ref="L111">IF(MOD(ROW()-ROW($I$12),3)=0,INDEX(RR!AK:AK,INT((ROW()-ROW($I$12))/3)+9),"")</f>
        <v>#DIV/0!</v>
      </c>
      <c r="M111" s="73" t="e">
        <f t="array" ref="M111">IF(MOD(ROW()-ROW($I$12),3)=0,INDEX(RR!AQ:AQ,INT((ROW()-ROW($I$12))/3)+9),"")</f>
        <v>#DIV/0!</v>
      </c>
      <c r="N111" s="73" t="e">
        <f t="array" ref="N111">IF(MOD(ROW()-ROW($I$12),3)=0,INDEX(RR!AW:AW,INT((ROW()-ROW($I$12))/3)+9),"")</f>
        <v>#DIV/0!</v>
      </c>
      <c r="O111" s="73">
        <f t="array" ref="O111">IF(MOD(ROW()-ROW($I$12),3)=0,INDEX(RR!BB:BB,INT((ROW()-ROW($I$12))/3)+9),"")</f>
        <v>0</v>
      </c>
      <c r="P111" s="73" t="e">
        <f t="array" ref="P111">IF(MOD(ROW()-ROW($I$12),3)=0,INDEX(RR!BF:BF,INT((ROW()-ROW($I$12))/3)+9),"")</f>
        <v>#DIV/0!</v>
      </c>
      <c r="Q111" s="73" t="e">
        <f t="array" ref="Q111">IF(MOD(ROW()-ROW($I$12),3)=0,INDEX(RR!BI:BI,INT((ROW()-ROW($I$12))/3)+9),"")</f>
        <v>#DIV/0!</v>
      </c>
      <c r="R111" s="73" t="e">
        <f t="array" ref="R111">IF(MOD(ROW()-ROW($I$12),3)=0,INDEX(RR!BL:BL,INT((ROW()-ROW($I$12))/3)+9),"")</f>
        <v>#DIV/0!</v>
      </c>
      <c r="S111" s="73" t="e">
        <f t="array" ref="S111">IF(MOD(ROW()-ROW($I$12),3)=0,INDEX(RR!BP:BP,INT((ROW()-ROW($I$12))/3)+9),"")</f>
        <v>#DIV/0!</v>
      </c>
      <c r="T111" s="73" t="e">
        <f t="array" ref="T111">IF(MOD(ROW()-ROW($I$12),3)=0,INDEX(RR!BT:BT,INT((ROW()-ROW($I$12))/3)+9),"")</f>
        <v>#DIV/0!</v>
      </c>
      <c r="U111" s="73">
        <f t="array" ref="U111">IF(MOD(ROW()-ROW($I$12),3)=0,INDEX(RR!BV:BV,INT((ROW()-ROW($I$12))/3)+9),"")</f>
        <v>0</v>
      </c>
      <c r="V111" s="73" t="e">
        <f t="array" ref="V111">IF(MOD(ROW()-ROW($I$12),3)=0,INDEX(RR!BZ:BZ,INT((ROW()-ROW($I$12))/3)+9),"")</f>
        <v>#DIV/0!</v>
      </c>
      <c r="W111" s="73" t="e">
        <f t="shared" ref="W111:W112" si="100">IF(MOD(ROW()-ROW($W$12),3)&lt;&gt;2,SUM(G111:V111),"")</f>
        <v>#DIV/0!</v>
      </c>
      <c r="X111" s="73" t="e">
        <f>IF(MOD(ROW()-ROW($X$12),3)&lt;&gt;2,ROUND(W111/16,2),"")</f>
        <v>#DIV/0!</v>
      </c>
      <c r="Y111" s="70"/>
      <c r="Z111" s="74" t="e">
        <f t="array" ref="Z111">IF(MOD(ROW()-ROW($Z$12),3)=0,IF(INDEX(X:X,ROW()+2)&gt;=$AC$9,"L","TL"),"")</f>
        <v>#DIV/0!</v>
      </c>
      <c r="AA111" s="56"/>
      <c r="AB111" s="56"/>
      <c r="AC111" s="56"/>
      <c r="AD111" s="56"/>
      <c r="AE111" s="56"/>
    </row>
    <row r="112" spans="1:31" ht="14.5">
      <c r="A112" s="70" t="str">
        <f t="shared" si="99"/>
        <v/>
      </c>
      <c r="B112" s="70" t="str">
        <f t="array" ref="B112">IF(MOD(ROW()-ROW($B$12),3)=0,INDEX(BIODATA!B:B,INT((ROW()-ROW($B$12))/3)+24),"")</f>
        <v/>
      </c>
      <c r="C112" s="70"/>
      <c r="D112" s="71"/>
      <c r="E112" s="70"/>
      <c r="F112" s="72" t="s">
        <v>105</v>
      </c>
      <c r="G112" s="73">
        <f t="array" ref="G112">IF(MOD(ROW()-ROW($G$12),3)=1,INDEX(PSAJ!F:F,INT((ROW()-ROW($G$12))/3)+8),"")</f>
        <v>0</v>
      </c>
      <c r="H112" s="73">
        <f t="array" ref="H112">IF(MOD(ROW()-ROW($G$12),3)=1,INDEX(PSAJ!G:G,INT((ROW()-ROW($G$12))/3)+8),"")</f>
        <v>0</v>
      </c>
      <c r="I112" s="73">
        <f t="array" ref="I112">IF(MOD(ROW()-ROW($G$12),3)=1,INDEX(PSAJ!H:H,INT((ROW()-ROW($G$12))/3)+8),"")</f>
        <v>0</v>
      </c>
      <c r="J112" s="73">
        <f t="array" ref="J112">IF(MOD(ROW()-ROW($G$12),3)=1,INDEX(PSAJ!I:I,INT((ROW()-ROW($G$12))/3)+8),"")</f>
        <v>0</v>
      </c>
      <c r="K112" s="73">
        <f t="array" ref="K112">IF(MOD(ROW()-ROW($G$12),3)=1,INDEX(PSAJ!J:J,INT((ROW()-ROW($G$12))/3)+8),"")</f>
        <v>0</v>
      </c>
      <c r="L112" s="73">
        <f t="array" ref="L112">IF(MOD(ROW()-ROW($G$12),3)=1,INDEX(PSAJ!K:K,INT((ROW()-ROW($G$12))/3)+8),"")</f>
        <v>0</v>
      </c>
      <c r="M112" s="73">
        <f t="array" ref="M112">IF(MOD(ROW()-ROW($G$12),3)=1,INDEX(PSAJ!L:L,INT((ROW()-ROW($G$12))/3)+8),"")</f>
        <v>0</v>
      </c>
      <c r="N112" s="73">
        <f t="array" ref="N112">IF(MOD(ROW()-ROW($G$12),3)=1,INDEX(PSAJ!M:M,INT((ROW()-ROW($G$12))/3)+8),"")</f>
        <v>0</v>
      </c>
      <c r="O112" s="73">
        <f t="array" ref="O112">IF(MOD(ROW()-ROW($G$12),3)=1,INDEX(PSAJ!N:N,INT((ROW()-ROW($G$12))/3)+8),"")</f>
        <v>0</v>
      </c>
      <c r="P112" s="73">
        <f t="array" ref="P112">IF(MOD(ROW()-ROW($G$12),3)=1,INDEX(PSAJ!O:O,INT((ROW()-ROW($G$12))/3)+8),"")</f>
        <v>0</v>
      </c>
      <c r="Q112" s="73">
        <f t="array" ref="Q112">IF(MOD(ROW()-ROW($G$12),3)=1,INDEX(PSAJ!P:P,INT((ROW()-ROW($G$12))/3)+8),"")</f>
        <v>0</v>
      </c>
      <c r="R112" s="73">
        <f t="array" ref="R112">IF(MOD(ROW()-ROW($G$12),3)=1,INDEX(PSAJ!Q:Q,INT((ROW()-ROW($G$12))/3)+8),"")</f>
        <v>0</v>
      </c>
      <c r="S112" s="73">
        <f t="array" ref="S112">IF(MOD(ROW()-ROW($G$12),3)=1,INDEX(PSAJ!R:R,INT((ROW()-ROW($G$12))/3)+8),"")</f>
        <v>0</v>
      </c>
      <c r="T112" s="73">
        <f t="array" ref="T112">IF(MOD(ROW()-ROW($G$12),3)=1,INDEX(PSAJ!S:S,INT((ROW()-ROW($G$12))/3)+8),"")</f>
        <v>0</v>
      </c>
      <c r="U112" s="73">
        <v>0</v>
      </c>
      <c r="V112" s="73">
        <f t="array" ref="V112">IF(MOD(ROW()-ROW($G$12),3)=1,INDEX(PSAJ!T:T,INT((ROW()-ROW($G$12))/3)+8),"")</f>
        <v>0</v>
      </c>
      <c r="W112" s="73">
        <f t="shared" si="100"/>
        <v>0</v>
      </c>
      <c r="X112" s="73">
        <f>IF(MOD(ROW()-ROW($X$12),3)&lt;&gt;2,ROUND(W112/15,2),"")</f>
        <v>0</v>
      </c>
      <c r="Y112" s="70"/>
      <c r="Z112" s="75"/>
      <c r="AA112" s="56"/>
      <c r="AB112" s="56"/>
      <c r="AC112" s="56"/>
      <c r="AD112" s="56"/>
      <c r="AE112" s="56"/>
    </row>
    <row r="113" spans="1:31" ht="14.5">
      <c r="A113" s="70"/>
      <c r="B113" s="70"/>
      <c r="C113" s="70"/>
      <c r="D113" s="71"/>
      <c r="E113" s="70"/>
      <c r="F113" s="76" t="s">
        <v>135</v>
      </c>
      <c r="G113" s="77" t="e">
        <f t="shared" ref="G113:T113" si="101">IF(MOD(ROW()-ROW($G$12),3)=2,((INDEX(G:G,ROW()-2)*$AC$4)+(INDEX(G:G,ROW()-1)*$AE$4))/$AD$5,"")</f>
        <v>#DIV/0!</v>
      </c>
      <c r="H113" s="77" t="e">
        <f t="shared" si="101"/>
        <v>#DIV/0!</v>
      </c>
      <c r="I113" s="77" t="e">
        <f t="shared" si="101"/>
        <v>#DIV/0!</v>
      </c>
      <c r="J113" s="77" t="e">
        <f t="shared" si="101"/>
        <v>#DIV/0!</v>
      </c>
      <c r="K113" s="77" t="e">
        <f t="shared" si="101"/>
        <v>#DIV/0!</v>
      </c>
      <c r="L113" s="77" t="e">
        <f t="shared" si="101"/>
        <v>#DIV/0!</v>
      </c>
      <c r="M113" s="77" t="e">
        <f t="shared" si="101"/>
        <v>#DIV/0!</v>
      </c>
      <c r="N113" s="77" t="e">
        <f t="shared" si="101"/>
        <v>#DIV/0!</v>
      </c>
      <c r="O113" s="77">
        <f t="shared" si="101"/>
        <v>0</v>
      </c>
      <c r="P113" s="77" t="e">
        <f t="shared" si="101"/>
        <v>#DIV/0!</v>
      </c>
      <c r="Q113" s="77" t="e">
        <f t="shared" si="101"/>
        <v>#DIV/0!</v>
      </c>
      <c r="R113" s="77" t="e">
        <f t="shared" si="101"/>
        <v>#DIV/0!</v>
      </c>
      <c r="S113" s="77" t="e">
        <f t="shared" si="101"/>
        <v>#DIV/0!</v>
      </c>
      <c r="T113" s="77" t="e">
        <f t="shared" si="101"/>
        <v>#DIV/0!</v>
      </c>
      <c r="U113" s="77">
        <f t="array" ref="U113">IF(MOD(ROW()-ROW($U$12),3)=2,N(INDEX(U:U,ROW()-2)),0)</f>
        <v>0</v>
      </c>
      <c r="V113" s="77" t="e">
        <f>IF(MOD(ROW()-ROW($G$12),3)=2,((INDEX(V:V,ROW()-2)*$AC$4)+(INDEX(V:V,ROW()-1)*$AE$4))/$AD$5,"")</f>
        <v>#DIV/0!</v>
      </c>
      <c r="W113" s="77" t="e">
        <f>IF(MOD(ROW()-ROW($G$12),3)=2,((INDEX(W:W,ROW()-2)*$AC$4)+(INDEX(W:W,ROW()-1)*$AE$4))/$AD$5,"")</f>
        <v>#DIV/0!</v>
      </c>
      <c r="X113" s="77" t="e">
        <f>IF(MOD(ROW()-ROW($G$12),3)=2,((INDEX(X:X,ROW()-2)*$AC$4)+(INDEX(X:X,ROW()-1)*$AE$4))/$AD$5,"")</f>
        <v>#DIV/0!</v>
      </c>
      <c r="Y113" s="78"/>
      <c r="Z113" s="77"/>
      <c r="AA113" s="56"/>
      <c r="AB113" s="56"/>
      <c r="AC113" s="56"/>
      <c r="AD113" s="56"/>
      <c r="AE113" s="56"/>
    </row>
    <row r="114" spans="1:31" ht="14.5">
      <c r="A114" s="70">
        <f t="shared" ref="A114:A115" si="102">IF(MOD(ROW()-12,3)=0,INT((ROW()-12)/3)+1,"")</f>
        <v>35</v>
      </c>
      <c r="B114" s="70">
        <f t="array" ref="B114">IF(MOD(ROW()-ROW($B$12),3)=0,INDEX(BIODATA!B:B,INT((ROW()-ROW($B$12))/3)+24),"")</f>
        <v>0</v>
      </c>
      <c r="C114" s="70">
        <f t="array" ref="C114">IF(MOD(ROW()-ROW($B$12),3)=0,INDEX(BIODATA!C:C,INT((ROW()-ROW($B$12))/3)+24),"")</f>
        <v>0</v>
      </c>
      <c r="D114" s="71">
        <f t="array" ref="D114">IF(MOD(ROW()-ROW($B$12),3)=0,INDEX(BIODATA!D:D,INT((ROW()-ROW($B$12))/3)+24),"")</f>
        <v>0</v>
      </c>
      <c r="E114" s="70" t="str">
        <f t="array" ref="E114">IF(MOD(ROW()-ROW($B$12),3)=0,INDEX(BIODATA!H:H,INT((ROW()-ROW($B$12))/3)+24),"")</f>
        <v>L</v>
      </c>
      <c r="F114" s="72" t="s">
        <v>134</v>
      </c>
      <c r="G114" s="73" t="e">
        <f t="array" ref="G114">IF(MOD(ROW()-ROW($G$12),3)=0,INDEX(RR!L:L,INT((ROW()-ROW($G$12))/3)+9),"")</f>
        <v>#DIV/0!</v>
      </c>
      <c r="H114" s="73" t="e">
        <f t="array" ref="H114">IF(MOD(ROW()-ROW($H$12),3)=0,INDEX(RR!R:R,INT((ROW()-ROW($H$12))/3)+9),"")</f>
        <v>#DIV/0!</v>
      </c>
      <c r="I114" s="73" t="e">
        <f t="array" ref="I114">IF(MOD(ROW()-ROW($I$12),3)=0,INDEX(RR!X:X,INT((ROW()-ROW($I$12))/3)+9),"")</f>
        <v>#DIV/0!</v>
      </c>
      <c r="J114" s="73" t="e">
        <f t="array" ref="J114">IF(MOD(ROW()-ROW($I$12),3)=0,INDEX(RR!AC:AC,INT((ROW()-ROW($I$12))/3)+9),"")</f>
        <v>#DIV/0!</v>
      </c>
      <c r="K114" s="73" t="e">
        <f t="array" ref="K114">IF(MOD(ROW()-ROW($I$12),3)=0,INDEX(RR!AH:AH,INT((ROW()-ROW($I$12))/3)+9),"")</f>
        <v>#DIV/0!</v>
      </c>
      <c r="L114" s="73" t="e">
        <f t="array" ref="L114">IF(MOD(ROW()-ROW($I$12),3)=0,INDEX(RR!AK:AK,INT((ROW()-ROW($I$12))/3)+9),"")</f>
        <v>#DIV/0!</v>
      </c>
      <c r="M114" s="73" t="e">
        <f t="array" ref="M114">IF(MOD(ROW()-ROW($I$12),3)=0,INDEX(RR!AQ:AQ,INT((ROW()-ROW($I$12))/3)+9),"")</f>
        <v>#DIV/0!</v>
      </c>
      <c r="N114" s="73" t="e">
        <f t="array" ref="N114">IF(MOD(ROW()-ROW($I$12),3)=0,INDEX(RR!AW:AW,INT((ROW()-ROW($I$12))/3)+9),"")</f>
        <v>#DIV/0!</v>
      </c>
      <c r="O114" s="73">
        <f t="array" ref="O114">IF(MOD(ROW()-ROW($I$12),3)=0,INDEX(RR!BB:BB,INT((ROW()-ROW($I$12))/3)+9),"")</f>
        <v>0</v>
      </c>
      <c r="P114" s="73" t="e">
        <f t="array" ref="P114">IF(MOD(ROW()-ROW($I$12),3)=0,INDEX(RR!BF:BF,INT((ROW()-ROW($I$12))/3)+9),"")</f>
        <v>#DIV/0!</v>
      </c>
      <c r="Q114" s="73" t="e">
        <f t="array" ref="Q114">IF(MOD(ROW()-ROW($I$12),3)=0,INDEX(RR!BI:BI,INT((ROW()-ROW($I$12))/3)+9),"")</f>
        <v>#DIV/0!</v>
      </c>
      <c r="R114" s="73" t="e">
        <f t="array" ref="R114">IF(MOD(ROW()-ROW($I$12),3)=0,INDEX(RR!BL:BL,INT((ROW()-ROW($I$12))/3)+9),"")</f>
        <v>#DIV/0!</v>
      </c>
      <c r="S114" s="73" t="e">
        <f t="array" ref="S114">IF(MOD(ROW()-ROW($I$12),3)=0,INDEX(RR!BP:BP,INT((ROW()-ROW($I$12))/3)+9),"")</f>
        <v>#DIV/0!</v>
      </c>
      <c r="T114" s="73" t="e">
        <f t="array" ref="T114">IF(MOD(ROW()-ROW($I$12),3)=0,INDEX(RR!BT:BT,INT((ROW()-ROW($I$12))/3)+9),"")</f>
        <v>#DIV/0!</v>
      </c>
      <c r="U114" s="73">
        <f t="array" ref="U114">IF(MOD(ROW()-ROW($I$12),3)=0,INDEX(RR!BV:BV,INT((ROW()-ROW($I$12))/3)+9),"")</f>
        <v>0</v>
      </c>
      <c r="V114" s="73" t="e">
        <f t="array" ref="V114">IF(MOD(ROW()-ROW($I$12),3)=0,INDEX(RR!BZ:BZ,INT((ROW()-ROW($I$12))/3)+9),"")</f>
        <v>#DIV/0!</v>
      </c>
      <c r="W114" s="73" t="e">
        <f t="shared" ref="W114:W115" si="103">IF(MOD(ROW()-ROW($W$12),3)&lt;&gt;2,SUM(G114:V114),"")</f>
        <v>#DIV/0!</v>
      </c>
      <c r="X114" s="73" t="e">
        <f>IF(MOD(ROW()-ROW($X$12),3)&lt;&gt;2,ROUND(W114/16,2),"")</f>
        <v>#DIV/0!</v>
      </c>
      <c r="Y114" s="70"/>
      <c r="Z114" s="74" t="e">
        <f t="array" ref="Z114">IF(MOD(ROW()-ROW($Z$12),3)=0,IF(INDEX(X:X,ROW()+2)&gt;=$AC$9,"L","TL"),"")</f>
        <v>#DIV/0!</v>
      </c>
      <c r="AA114" s="56"/>
      <c r="AB114" s="56"/>
      <c r="AC114" s="56"/>
      <c r="AD114" s="56"/>
      <c r="AE114" s="56"/>
    </row>
    <row r="115" spans="1:31" ht="14.5">
      <c r="A115" s="70" t="str">
        <f t="shared" si="102"/>
        <v/>
      </c>
      <c r="B115" s="70" t="str">
        <f t="array" ref="B115">IF(MOD(ROW()-ROW($B$12),3)=0,INDEX(BIODATA!B:B,INT((ROW()-ROW($B$12))/3)+24),"")</f>
        <v/>
      </c>
      <c r="C115" s="70"/>
      <c r="D115" s="71"/>
      <c r="E115" s="70"/>
      <c r="F115" s="72" t="s">
        <v>105</v>
      </c>
      <c r="G115" s="73">
        <f t="array" ref="G115">IF(MOD(ROW()-ROW($G$12),3)=1,INDEX(PSAJ!F:F,INT((ROW()-ROW($G$12))/3)+8),"")</f>
        <v>0</v>
      </c>
      <c r="H115" s="73">
        <f t="array" ref="H115">IF(MOD(ROW()-ROW($G$12),3)=1,INDEX(PSAJ!G:G,INT((ROW()-ROW($G$12))/3)+8),"")</f>
        <v>0</v>
      </c>
      <c r="I115" s="73">
        <f t="array" ref="I115">IF(MOD(ROW()-ROW($G$12),3)=1,INDEX(PSAJ!H:H,INT((ROW()-ROW($G$12))/3)+8),"")</f>
        <v>0</v>
      </c>
      <c r="J115" s="73">
        <f t="array" ref="J115">IF(MOD(ROW()-ROW($G$12),3)=1,INDEX(PSAJ!I:I,INT((ROW()-ROW($G$12))/3)+8),"")</f>
        <v>0</v>
      </c>
      <c r="K115" s="73">
        <f t="array" ref="K115">IF(MOD(ROW()-ROW($G$12),3)=1,INDEX(PSAJ!J:J,INT((ROW()-ROW($G$12))/3)+8),"")</f>
        <v>0</v>
      </c>
      <c r="L115" s="73">
        <f t="array" ref="L115">IF(MOD(ROW()-ROW($G$12),3)=1,INDEX(PSAJ!K:K,INT((ROW()-ROW($G$12))/3)+8),"")</f>
        <v>0</v>
      </c>
      <c r="M115" s="73">
        <f t="array" ref="M115">IF(MOD(ROW()-ROW($G$12),3)=1,INDEX(PSAJ!L:L,INT((ROW()-ROW($G$12))/3)+8),"")</f>
        <v>0</v>
      </c>
      <c r="N115" s="73">
        <f t="array" ref="N115">IF(MOD(ROW()-ROW($G$12),3)=1,INDEX(PSAJ!M:M,INT((ROW()-ROW($G$12))/3)+8),"")</f>
        <v>0</v>
      </c>
      <c r="O115" s="73">
        <f t="array" ref="O115">IF(MOD(ROW()-ROW($G$12),3)=1,INDEX(PSAJ!N:N,INT((ROW()-ROW($G$12))/3)+8),"")</f>
        <v>0</v>
      </c>
      <c r="P115" s="73">
        <f t="array" ref="P115">IF(MOD(ROW()-ROW($G$12),3)=1,INDEX(PSAJ!O:O,INT((ROW()-ROW($G$12))/3)+8),"")</f>
        <v>0</v>
      </c>
      <c r="Q115" s="73">
        <f t="array" ref="Q115">IF(MOD(ROW()-ROW($G$12),3)=1,INDEX(PSAJ!P:P,INT((ROW()-ROW($G$12))/3)+8),"")</f>
        <v>0</v>
      </c>
      <c r="R115" s="73">
        <f t="array" ref="R115">IF(MOD(ROW()-ROW($G$12),3)=1,INDEX(PSAJ!Q:Q,INT((ROW()-ROW($G$12))/3)+8),"")</f>
        <v>0</v>
      </c>
      <c r="S115" s="73">
        <f t="array" ref="S115">IF(MOD(ROW()-ROW($G$12),3)=1,INDEX(PSAJ!R:R,INT((ROW()-ROW($G$12))/3)+8),"")</f>
        <v>0</v>
      </c>
      <c r="T115" s="73">
        <f t="array" ref="T115">IF(MOD(ROW()-ROW($G$12),3)=1,INDEX(PSAJ!S:S,INT((ROW()-ROW($G$12))/3)+8),"")</f>
        <v>0</v>
      </c>
      <c r="U115" s="73">
        <v>0</v>
      </c>
      <c r="V115" s="73">
        <f t="array" ref="V115">IF(MOD(ROW()-ROW($G$12),3)=1,INDEX(PSAJ!T:T,INT((ROW()-ROW($G$12))/3)+8),"")</f>
        <v>0</v>
      </c>
      <c r="W115" s="73">
        <f t="shared" si="103"/>
        <v>0</v>
      </c>
      <c r="X115" s="73">
        <f>IF(MOD(ROW()-ROW($X$12),3)&lt;&gt;2,ROUND(W115/15,2),"")</f>
        <v>0</v>
      </c>
      <c r="Y115" s="70"/>
      <c r="Z115" s="75"/>
      <c r="AA115" s="56"/>
      <c r="AB115" s="56"/>
      <c r="AC115" s="56"/>
      <c r="AD115" s="56"/>
      <c r="AE115" s="56"/>
    </row>
    <row r="116" spans="1:31" ht="14.5">
      <c r="A116" s="70"/>
      <c r="B116" s="70"/>
      <c r="C116" s="70"/>
      <c r="D116" s="71"/>
      <c r="E116" s="70"/>
      <c r="F116" s="76" t="s">
        <v>135</v>
      </c>
      <c r="G116" s="77" t="e">
        <f t="shared" ref="G116:T116" si="104">IF(MOD(ROW()-ROW($G$12),3)=2,((INDEX(G:G,ROW()-2)*$AC$4)+(INDEX(G:G,ROW()-1)*$AE$4))/$AD$5,"")</f>
        <v>#DIV/0!</v>
      </c>
      <c r="H116" s="77" t="e">
        <f t="shared" si="104"/>
        <v>#DIV/0!</v>
      </c>
      <c r="I116" s="77" t="e">
        <f t="shared" si="104"/>
        <v>#DIV/0!</v>
      </c>
      <c r="J116" s="77" t="e">
        <f t="shared" si="104"/>
        <v>#DIV/0!</v>
      </c>
      <c r="K116" s="77" t="e">
        <f t="shared" si="104"/>
        <v>#DIV/0!</v>
      </c>
      <c r="L116" s="77" t="e">
        <f t="shared" si="104"/>
        <v>#DIV/0!</v>
      </c>
      <c r="M116" s="77" t="e">
        <f t="shared" si="104"/>
        <v>#DIV/0!</v>
      </c>
      <c r="N116" s="77" t="e">
        <f t="shared" si="104"/>
        <v>#DIV/0!</v>
      </c>
      <c r="O116" s="77">
        <f t="shared" si="104"/>
        <v>0</v>
      </c>
      <c r="P116" s="77" t="e">
        <f t="shared" si="104"/>
        <v>#DIV/0!</v>
      </c>
      <c r="Q116" s="77" t="e">
        <f t="shared" si="104"/>
        <v>#DIV/0!</v>
      </c>
      <c r="R116" s="77" t="e">
        <f t="shared" si="104"/>
        <v>#DIV/0!</v>
      </c>
      <c r="S116" s="77" t="e">
        <f t="shared" si="104"/>
        <v>#DIV/0!</v>
      </c>
      <c r="T116" s="77" t="e">
        <f t="shared" si="104"/>
        <v>#DIV/0!</v>
      </c>
      <c r="U116" s="77">
        <f t="array" ref="U116">IF(MOD(ROW()-ROW($U$12),3)=2,N(INDEX(U:U,ROW()-2)),0)</f>
        <v>0</v>
      </c>
      <c r="V116" s="77" t="e">
        <f>IF(MOD(ROW()-ROW($G$12),3)=2,((INDEX(V:V,ROW()-2)*$AC$4)+(INDEX(V:V,ROW()-1)*$AE$4))/$AD$5,"")</f>
        <v>#DIV/0!</v>
      </c>
      <c r="W116" s="77" t="e">
        <f>IF(MOD(ROW()-ROW($G$12),3)=2,((INDEX(W:W,ROW()-2)*$AC$4)+(INDEX(W:W,ROW()-1)*$AE$4))/$AD$5,"")</f>
        <v>#DIV/0!</v>
      </c>
      <c r="X116" s="77" t="e">
        <f>IF(MOD(ROW()-ROW($G$12),3)=2,((INDEX(X:X,ROW()-2)*$AC$4)+(INDEX(X:X,ROW()-1)*$AE$4))/$AD$5,"")</f>
        <v>#DIV/0!</v>
      </c>
      <c r="Y116" s="78"/>
      <c r="Z116" s="77"/>
      <c r="AA116" s="56"/>
      <c r="AB116" s="56"/>
      <c r="AC116" s="56"/>
      <c r="AD116" s="56"/>
      <c r="AE116" s="56"/>
    </row>
    <row r="117" spans="1:31" ht="14.5">
      <c r="A117" s="70">
        <f t="shared" ref="A117:A118" si="105">IF(MOD(ROW()-12,3)=0,INT((ROW()-12)/3)+1,"")</f>
        <v>36</v>
      </c>
      <c r="B117" s="70">
        <f t="array" ref="B117">IF(MOD(ROW()-ROW($B$12),3)=0,INDEX(BIODATA!B:B,INT((ROW()-ROW($B$12))/3)+24),"")</f>
        <v>0</v>
      </c>
      <c r="C117" s="70">
        <f t="array" ref="C117">IF(MOD(ROW()-ROW($B$12),3)=0,INDEX(BIODATA!C:C,INT((ROW()-ROW($B$12))/3)+24),"")</f>
        <v>0</v>
      </c>
      <c r="D117" s="71">
        <f t="array" ref="D117">IF(MOD(ROW()-ROW($B$12),3)=0,INDEX(BIODATA!D:D,INT((ROW()-ROW($B$12))/3)+24),"")</f>
        <v>0</v>
      </c>
      <c r="E117" s="70" t="str">
        <f t="array" ref="E117">IF(MOD(ROW()-ROW($B$12),3)=0,INDEX(BIODATA!H:H,INT((ROW()-ROW($B$12))/3)+24),"")</f>
        <v>L</v>
      </c>
      <c r="F117" s="72" t="s">
        <v>134</v>
      </c>
      <c r="G117" s="73" t="e">
        <f t="array" ref="G117">IF(MOD(ROW()-ROW($G$12),3)=0,INDEX(RR!L:L,INT((ROW()-ROW($G$12))/3)+9),"")</f>
        <v>#DIV/0!</v>
      </c>
      <c r="H117" s="73" t="e">
        <f t="array" ref="H117">IF(MOD(ROW()-ROW($H$12),3)=0,INDEX(RR!R:R,INT((ROW()-ROW($H$12))/3)+9),"")</f>
        <v>#DIV/0!</v>
      </c>
      <c r="I117" s="73" t="e">
        <f t="array" ref="I117">IF(MOD(ROW()-ROW($I$12),3)=0,INDEX(RR!X:X,INT((ROW()-ROW($I$12))/3)+9),"")</f>
        <v>#DIV/0!</v>
      </c>
      <c r="J117" s="73" t="e">
        <f t="array" ref="J117">IF(MOD(ROW()-ROW($I$12),3)=0,INDEX(RR!AC:AC,INT((ROW()-ROW($I$12))/3)+9),"")</f>
        <v>#DIV/0!</v>
      </c>
      <c r="K117" s="73" t="e">
        <f t="array" ref="K117">IF(MOD(ROW()-ROW($I$12),3)=0,INDEX(RR!AH:AH,INT((ROW()-ROW($I$12))/3)+9),"")</f>
        <v>#DIV/0!</v>
      </c>
      <c r="L117" s="73" t="e">
        <f t="array" ref="L117">IF(MOD(ROW()-ROW($I$12),3)=0,INDEX(RR!AK:AK,INT((ROW()-ROW($I$12))/3)+9),"")</f>
        <v>#DIV/0!</v>
      </c>
      <c r="M117" s="73" t="e">
        <f t="array" ref="M117">IF(MOD(ROW()-ROW($I$12),3)=0,INDEX(RR!AQ:AQ,INT((ROW()-ROW($I$12))/3)+9),"")</f>
        <v>#DIV/0!</v>
      </c>
      <c r="N117" s="73" t="e">
        <f t="array" ref="N117">IF(MOD(ROW()-ROW($I$12),3)=0,INDEX(RR!AW:AW,INT((ROW()-ROW($I$12))/3)+9),"")</f>
        <v>#DIV/0!</v>
      </c>
      <c r="O117" s="73">
        <f t="array" ref="O117">IF(MOD(ROW()-ROW($I$12),3)=0,INDEX(RR!BB:BB,INT((ROW()-ROW($I$12))/3)+9),"")</f>
        <v>0</v>
      </c>
      <c r="P117" s="73" t="e">
        <f t="array" ref="P117">IF(MOD(ROW()-ROW($I$12),3)=0,INDEX(RR!BF:BF,INT((ROW()-ROW($I$12))/3)+9),"")</f>
        <v>#DIV/0!</v>
      </c>
      <c r="Q117" s="73" t="e">
        <f t="array" ref="Q117">IF(MOD(ROW()-ROW($I$12),3)=0,INDEX(RR!BI:BI,INT((ROW()-ROW($I$12))/3)+9),"")</f>
        <v>#DIV/0!</v>
      </c>
      <c r="R117" s="73" t="e">
        <f t="array" ref="R117">IF(MOD(ROW()-ROW($I$12),3)=0,INDEX(RR!BL:BL,INT((ROW()-ROW($I$12))/3)+9),"")</f>
        <v>#DIV/0!</v>
      </c>
      <c r="S117" s="73" t="e">
        <f t="array" ref="S117">IF(MOD(ROW()-ROW($I$12),3)=0,INDEX(RR!BP:BP,INT((ROW()-ROW($I$12))/3)+9),"")</f>
        <v>#DIV/0!</v>
      </c>
      <c r="T117" s="73" t="e">
        <f t="array" ref="T117">IF(MOD(ROW()-ROW($I$12),3)=0,INDEX(RR!BT:BT,INT((ROW()-ROW($I$12))/3)+9),"")</f>
        <v>#DIV/0!</v>
      </c>
      <c r="U117" s="73">
        <f t="array" ref="U117">IF(MOD(ROW()-ROW($I$12),3)=0,INDEX(RR!BV:BV,INT((ROW()-ROW($I$12))/3)+9),"")</f>
        <v>0</v>
      </c>
      <c r="V117" s="73" t="e">
        <f t="array" ref="V117">IF(MOD(ROW()-ROW($I$12),3)=0,INDEX(RR!BZ:BZ,INT((ROW()-ROW($I$12))/3)+9),"")</f>
        <v>#DIV/0!</v>
      </c>
      <c r="W117" s="73" t="e">
        <f t="shared" ref="W117:W118" si="106">IF(MOD(ROW()-ROW($W$12),3)&lt;&gt;2,SUM(G117:V117),"")</f>
        <v>#DIV/0!</v>
      </c>
      <c r="X117" s="73" t="e">
        <f>IF(MOD(ROW()-ROW($X$12),3)&lt;&gt;2,ROUND(W117/16,2),"")</f>
        <v>#DIV/0!</v>
      </c>
      <c r="Y117" s="70"/>
      <c r="Z117" s="74" t="e">
        <f t="array" ref="Z117">IF(MOD(ROW()-ROW($Z$12),3)=0,IF(INDEX(X:X,ROW()+2)&gt;=$AC$9,"L","TL"),"")</f>
        <v>#DIV/0!</v>
      </c>
      <c r="AA117" s="56"/>
      <c r="AB117" s="56"/>
      <c r="AC117" s="56"/>
      <c r="AD117" s="56"/>
      <c r="AE117" s="56"/>
    </row>
    <row r="118" spans="1:31" ht="14.5">
      <c r="A118" s="70" t="str">
        <f t="shared" si="105"/>
        <v/>
      </c>
      <c r="B118" s="70" t="str">
        <f t="array" ref="B118">IF(MOD(ROW()-ROW($B$12),3)=0,INDEX(BIODATA!B:B,INT((ROW()-ROW($B$12))/3)+24),"")</f>
        <v/>
      </c>
      <c r="C118" s="70"/>
      <c r="D118" s="71"/>
      <c r="E118" s="70"/>
      <c r="F118" s="72" t="s">
        <v>105</v>
      </c>
      <c r="G118" s="73">
        <f t="array" ref="G118">IF(MOD(ROW()-ROW($G$12),3)=1,INDEX(PSAJ!F:F,INT((ROW()-ROW($G$12))/3)+8),"")</f>
        <v>0</v>
      </c>
      <c r="H118" s="73">
        <f t="array" ref="H118">IF(MOD(ROW()-ROW($G$12),3)=1,INDEX(PSAJ!G:G,INT((ROW()-ROW($G$12))/3)+8),"")</f>
        <v>0</v>
      </c>
      <c r="I118" s="73">
        <f t="array" ref="I118">IF(MOD(ROW()-ROW($G$12),3)=1,INDEX(PSAJ!H:H,INT((ROW()-ROW($G$12))/3)+8),"")</f>
        <v>0</v>
      </c>
      <c r="J118" s="73">
        <f t="array" ref="J118">IF(MOD(ROW()-ROW($G$12),3)=1,INDEX(PSAJ!I:I,INT((ROW()-ROW($G$12))/3)+8),"")</f>
        <v>0</v>
      </c>
      <c r="K118" s="73">
        <f t="array" ref="K118">IF(MOD(ROW()-ROW($G$12),3)=1,INDEX(PSAJ!J:J,INT((ROW()-ROW($G$12))/3)+8),"")</f>
        <v>0</v>
      </c>
      <c r="L118" s="73">
        <f t="array" ref="L118">IF(MOD(ROW()-ROW($G$12),3)=1,INDEX(PSAJ!K:K,INT((ROW()-ROW($G$12))/3)+8),"")</f>
        <v>0</v>
      </c>
      <c r="M118" s="73">
        <f t="array" ref="M118">IF(MOD(ROW()-ROW($G$12),3)=1,INDEX(PSAJ!L:L,INT((ROW()-ROW($G$12))/3)+8),"")</f>
        <v>0</v>
      </c>
      <c r="N118" s="73">
        <f t="array" ref="N118">IF(MOD(ROW()-ROW($G$12),3)=1,INDEX(PSAJ!M:M,INT((ROW()-ROW($G$12))/3)+8),"")</f>
        <v>0</v>
      </c>
      <c r="O118" s="73">
        <f t="array" ref="O118">IF(MOD(ROW()-ROW($G$12),3)=1,INDEX(PSAJ!N:N,INT((ROW()-ROW($G$12))/3)+8),"")</f>
        <v>0</v>
      </c>
      <c r="P118" s="73">
        <f t="array" ref="P118">IF(MOD(ROW()-ROW($G$12),3)=1,INDEX(PSAJ!O:O,INT((ROW()-ROW($G$12))/3)+8),"")</f>
        <v>0</v>
      </c>
      <c r="Q118" s="73">
        <f t="array" ref="Q118">IF(MOD(ROW()-ROW($G$12),3)=1,INDEX(PSAJ!P:P,INT((ROW()-ROW($G$12))/3)+8),"")</f>
        <v>0</v>
      </c>
      <c r="R118" s="73">
        <f t="array" ref="R118">IF(MOD(ROW()-ROW($G$12),3)=1,INDEX(PSAJ!Q:Q,INT((ROW()-ROW($G$12))/3)+8),"")</f>
        <v>0</v>
      </c>
      <c r="S118" s="73">
        <f t="array" ref="S118">IF(MOD(ROW()-ROW($G$12),3)=1,INDEX(PSAJ!R:R,INT((ROW()-ROW($G$12))/3)+8),"")</f>
        <v>0</v>
      </c>
      <c r="T118" s="73">
        <f t="array" ref="T118">IF(MOD(ROW()-ROW($G$12),3)=1,INDEX(PSAJ!S:S,INT((ROW()-ROW($G$12))/3)+8),"")</f>
        <v>0</v>
      </c>
      <c r="U118" s="73">
        <v>0</v>
      </c>
      <c r="V118" s="73">
        <f t="array" ref="V118">IF(MOD(ROW()-ROW($G$12),3)=1,INDEX(PSAJ!T:T,INT((ROW()-ROW($G$12))/3)+8),"")</f>
        <v>0</v>
      </c>
      <c r="W118" s="73">
        <f t="shared" si="106"/>
        <v>0</v>
      </c>
      <c r="X118" s="73">
        <f>IF(MOD(ROW()-ROW($X$12),3)&lt;&gt;2,ROUND(W118/15,2),"")</f>
        <v>0</v>
      </c>
      <c r="Y118" s="70"/>
      <c r="Z118" s="75"/>
      <c r="AA118" s="56"/>
      <c r="AB118" s="56"/>
      <c r="AC118" s="56"/>
      <c r="AD118" s="56"/>
      <c r="AE118" s="56"/>
    </row>
    <row r="119" spans="1:31" ht="14.5">
      <c r="A119" s="70"/>
      <c r="B119" s="70"/>
      <c r="C119" s="70"/>
      <c r="D119" s="71"/>
      <c r="E119" s="70"/>
      <c r="F119" s="76" t="s">
        <v>135</v>
      </c>
      <c r="G119" s="77" t="e">
        <f t="shared" ref="G119:T119" si="107">IF(MOD(ROW()-ROW($G$12),3)=2,((INDEX(G:G,ROW()-2)*$AC$4)+(INDEX(G:G,ROW()-1)*$AE$4))/$AD$5,"")</f>
        <v>#DIV/0!</v>
      </c>
      <c r="H119" s="77" t="e">
        <f t="shared" si="107"/>
        <v>#DIV/0!</v>
      </c>
      <c r="I119" s="77" t="e">
        <f t="shared" si="107"/>
        <v>#DIV/0!</v>
      </c>
      <c r="J119" s="77" t="e">
        <f t="shared" si="107"/>
        <v>#DIV/0!</v>
      </c>
      <c r="K119" s="77" t="e">
        <f t="shared" si="107"/>
        <v>#DIV/0!</v>
      </c>
      <c r="L119" s="77" t="e">
        <f t="shared" si="107"/>
        <v>#DIV/0!</v>
      </c>
      <c r="M119" s="77" t="e">
        <f t="shared" si="107"/>
        <v>#DIV/0!</v>
      </c>
      <c r="N119" s="77" t="e">
        <f t="shared" si="107"/>
        <v>#DIV/0!</v>
      </c>
      <c r="O119" s="77">
        <f t="shared" si="107"/>
        <v>0</v>
      </c>
      <c r="P119" s="77" t="e">
        <f t="shared" si="107"/>
        <v>#DIV/0!</v>
      </c>
      <c r="Q119" s="77" t="e">
        <f t="shared" si="107"/>
        <v>#DIV/0!</v>
      </c>
      <c r="R119" s="77" t="e">
        <f t="shared" si="107"/>
        <v>#DIV/0!</v>
      </c>
      <c r="S119" s="77" t="e">
        <f t="shared" si="107"/>
        <v>#DIV/0!</v>
      </c>
      <c r="T119" s="77" t="e">
        <f t="shared" si="107"/>
        <v>#DIV/0!</v>
      </c>
      <c r="U119" s="77">
        <f t="array" ref="U119">IF(MOD(ROW()-ROW($U$12),3)=2,N(INDEX(U:U,ROW()-2)),0)</f>
        <v>0</v>
      </c>
      <c r="V119" s="77" t="e">
        <f>IF(MOD(ROW()-ROW($G$12),3)=2,((INDEX(V:V,ROW()-2)*$AC$4)+(INDEX(V:V,ROW()-1)*$AE$4))/$AD$5,"")</f>
        <v>#DIV/0!</v>
      </c>
      <c r="W119" s="77" t="e">
        <f>IF(MOD(ROW()-ROW($G$12),3)=2,((INDEX(W:W,ROW()-2)*$AC$4)+(INDEX(W:W,ROW()-1)*$AE$4))/$AD$5,"")</f>
        <v>#DIV/0!</v>
      </c>
      <c r="X119" s="77" t="e">
        <f>IF(MOD(ROW()-ROW($G$12),3)=2,((INDEX(X:X,ROW()-2)*$AC$4)+(INDEX(X:X,ROW()-1)*$AE$4))/$AD$5,"")</f>
        <v>#DIV/0!</v>
      </c>
      <c r="Y119" s="78"/>
      <c r="Z119" s="77"/>
      <c r="AA119" s="56"/>
      <c r="AB119" s="56"/>
      <c r="AC119" s="56"/>
      <c r="AD119" s="56"/>
      <c r="AE119" s="56"/>
    </row>
    <row r="120" spans="1:31" ht="14.5">
      <c r="A120" s="70">
        <f t="shared" ref="A120:A121" si="108">IF(MOD(ROW()-12,3)=0,INT((ROW()-12)/3)+1,"")</f>
        <v>37</v>
      </c>
      <c r="B120" s="70">
        <f t="array" ref="B120">IF(MOD(ROW()-ROW($B$12),3)=0,INDEX(BIODATA!B:B,INT((ROW()-ROW($B$12))/3)+24),"")</f>
        <v>0</v>
      </c>
      <c r="C120" s="70">
        <f t="array" ref="C120">IF(MOD(ROW()-ROW($B$12),3)=0,INDEX(BIODATA!C:C,INT((ROW()-ROW($B$12))/3)+24),"")</f>
        <v>0</v>
      </c>
      <c r="D120" s="71">
        <f t="array" ref="D120">IF(MOD(ROW()-ROW($B$12),3)=0,INDEX(BIODATA!D:D,INT((ROW()-ROW($B$12))/3)+24),"")</f>
        <v>0</v>
      </c>
      <c r="E120" s="70" t="str">
        <f t="array" ref="E120">IF(MOD(ROW()-ROW($B$12),3)=0,INDEX(BIODATA!H:H,INT((ROW()-ROW($B$12))/3)+24),"")</f>
        <v>L</v>
      </c>
      <c r="F120" s="72" t="s">
        <v>134</v>
      </c>
      <c r="G120" s="73" t="e">
        <f t="array" ref="G120">IF(MOD(ROW()-ROW($G$12),3)=0,INDEX(RR!L:L,INT((ROW()-ROW($G$12))/3)+9),"")</f>
        <v>#DIV/0!</v>
      </c>
      <c r="H120" s="73" t="e">
        <f t="array" ref="H120">IF(MOD(ROW()-ROW($H$12),3)=0,INDEX(RR!R:R,INT((ROW()-ROW($H$12))/3)+9),"")</f>
        <v>#DIV/0!</v>
      </c>
      <c r="I120" s="73" t="e">
        <f t="array" ref="I120">IF(MOD(ROW()-ROW($I$12),3)=0,INDEX(RR!X:X,INT((ROW()-ROW($I$12))/3)+9),"")</f>
        <v>#DIV/0!</v>
      </c>
      <c r="J120" s="73" t="e">
        <f t="array" ref="J120">IF(MOD(ROW()-ROW($I$12),3)=0,INDEX(RR!AC:AC,INT((ROW()-ROW($I$12))/3)+9),"")</f>
        <v>#DIV/0!</v>
      </c>
      <c r="K120" s="73" t="e">
        <f t="array" ref="K120">IF(MOD(ROW()-ROW($I$12),3)=0,INDEX(RR!AH:AH,INT((ROW()-ROW($I$12))/3)+9),"")</f>
        <v>#DIV/0!</v>
      </c>
      <c r="L120" s="73" t="e">
        <f t="array" ref="L120">IF(MOD(ROW()-ROW($I$12),3)=0,INDEX(RR!AK:AK,INT((ROW()-ROW($I$12))/3)+9),"")</f>
        <v>#DIV/0!</v>
      </c>
      <c r="M120" s="73" t="e">
        <f t="array" ref="M120">IF(MOD(ROW()-ROW($I$12),3)=0,INDEX(RR!AQ:AQ,INT((ROW()-ROW($I$12))/3)+9),"")</f>
        <v>#DIV/0!</v>
      </c>
      <c r="N120" s="73" t="e">
        <f t="array" ref="N120">IF(MOD(ROW()-ROW($I$12),3)=0,INDEX(RR!AW:AW,INT((ROW()-ROW($I$12))/3)+9),"")</f>
        <v>#DIV/0!</v>
      </c>
      <c r="O120" s="73">
        <f t="array" ref="O120">IF(MOD(ROW()-ROW($I$12),3)=0,INDEX(RR!BB:BB,INT((ROW()-ROW($I$12))/3)+9),"")</f>
        <v>0</v>
      </c>
      <c r="P120" s="73" t="e">
        <f t="array" ref="P120">IF(MOD(ROW()-ROW($I$12),3)=0,INDEX(RR!BF:BF,INT((ROW()-ROW($I$12))/3)+9),"")</f>
        <v>#DIV/0!</v>
      </c>
      <c r="Q120" s="73" t="e">
        <f t="array" ref="Q120">IF(MOD(ROW()-ROW($I$12),3)=0,INDEX(RR!BI:BI,INT((ROW()-ROW($I$12))/3)+9),"")</f>
        <v>#DIV/0!</v>
      </c>
      <c r="R120" s="73" t="e">
        <f t="array" ref="R120">IF(MOD(ROW()-ROW($I$12),3)=0,INDEX(RR!BL:BL,INT((ROW()-ROW($I$12))/3)+9),"")</f>
        <v>#DIV/0!</v>
      </c>
      <c r="S120" s="73" t="e">
        <f t="array" ref="S120">IF(MOD(ROW()-ROW($I$12),3)=0,INDEX(RR!BP:BP,INT((ROW()-ROW($I$12))/3)+9),"")</f>
        <v>#DIV/0!</v>
      </c>
      <c r="T120" s="73" t="e">
        <f t="array" ref="T120">IF(MOD(ROW()-ROW($I$12),3)=0,INDEX(RR!BT:BT,INT((ROW()-ROW($I$12))/3)+9),"")</f>
        <v>#DIV/0!</v>
      </c>
      <c r="U120" s="73">
        <f t="array" ref="U120">IF(MOD(ROW()-ROW($I$12),3)=0,INDEX(RR!BV:BV,INT((ROW()-ROW($I$12))/3)+9),"")</f>
        <v>0</v>
      </c>
      <c r="V120" s="73" t="e">
        <f t="array" ref="V120">IF(MOD(ROW()-ROW($I$12),3)=0,INDEX(RR!BZ:BZ,INT((ROW()-ROW($I$12))/3)+9),"")</f>
        <v>#DIV/0!</v>
      </c>
      <c r="W120" s="73" t="e">
        <f t="shared" ref="W120:W121" si="109">IF(MOD(ROW()-ROW($W$12),3)&lt;&gt;2,SUM(G120:V120),"")</f>
        <v>#DIV/0!</v>
      </c>
      <c r="X120" s="73" t="e">
        <f>IF(MOD(ROW()-ROW($X$12),3)&lt;&gt;2,ROUND(W120/16,2),"")</f>
        <v>#DIV/0!</v>
      </c>
      <c r="Y120" s="70"/>
      <c r="Z120" s="74" t="e">
        <f t="array" ref="Z120">IF(MOD(ROW()-ROW($Z$12),3)=0,IF(INDEX(X:X,ROW()+2)&gt;=$AC$9,"L","TL"),"")</f>
        <v>#DIV/0!</v>
      </c>
      <c r="AA120" s="56"/>
      <c r="AB120" s="56"/>
      <c r="AC120" s="56"/>
      <c r="AD120" s="56"/>
      <c r="AE120" s="56"/>
    </row>
    <row r="121" spans="1:31" ht="14.5">
      <c r="A121" s="70" t="str">
        <f t="shared" si="108"/>
        <v/>
      </c>
      <c r="B121" s="70" t="str">
        <f t="array" ref="B121">IF(MOD(ROW()-ROW($B$12),3)=0,INDEX(BIODATA!B:B,INT((ROW()-ROW($B$12))/3)+24),"")</f>
        <v/>
      </c>
      <c r="C121" s="70"/>
      <c r="D121" s="71"/>
      <c r="E121" s="70"/>
      <c r="F121" s="72" t="s">
        <v>105</v>
      </c>
      <c r="G121" s="73">
        <f t="array" ref="G121">IF(MOD(ROW()-ROW($G$12),3)=1,INDEX(PSAJ!F:F,INT((ROW()-ROW($G$12))/3)+8),"")</f>
        <v>0</v>
      </c>
      <c r="H121" s="73">
        <f t="array" ref="H121">IF(MOD(ROW()-ROW($G$12),3)=1,INDEX(PSAJ!G:G,INT((ROW()-ROW($G$12))/3)+8),"")</f>
        <v>0</v>
      </c>
      <c r="I121" s="73">
        <f t="array" ref="I121">IF(MOD(ROW()-ROW($G$12),3)=1,INDEX(PSAJ!H:H,INT((ROW()-ROW($G$12))/3)+8),"")</f>
        <v>0</v>
      </c>
      <c r="J121" s="73">
        <f t="array" ref="J121">IF(MOD(ROW()-ROW($G$12),3)=1,INDEX(PSAJ!I:I,INT((ROW()-ROW($G$12))/3)+8),"")</f>
        <v>0</v>
      </c>
      <c r="K121" s="73">
        <f t="array" ref="K121">IF(MOD(ROW()-ROW($G$12),3)=1,INDEX(PSAJ!J:J,INT((ROW()-ROW($G$12))/3)+8),"")</f>
        <v>0</v>
      </c>
      <c r="L121" s="73">
        <f t="array" ref="L121">IF(MOD(ROW()-ROW($G$12),3)=1,INDEX(PSAJ!K:K,INT((ROW()-ROW($G$12))/3)+8),"")</f>
        <v>0</v>
      </c>
      <c r="M121" s="73">
        <f t="array" ref="M121">IF(MOD(ROW()-ROW($G$12),3)=1,INDEX(PSAJ!L:L,INT((ROW()-ROW($G$12))/3)+8),"")</f>
        <v>0</v>
      </c>
      <c r="N121" s="73">
        <f t="array" ref="N121">IF(MOD(ROW()-ROW($G$12),3)=1,INDEX(PSAJ!M:M,INT((ROW()-ROW($G$12))/3)+8),"")</f>
        <v>0</v>
      </c>
      <c r="O121" s="73">
        <f t="array" ref="O121">IF(MOD(ROW()-ROW($G$12),3)=1,INDEX(PSAJ!N:N,INT((ROW()-ROW($G$12))/3)+8),"")</f>
        <v>0</v>
      </c>
      <c r="P121" s="73">
        <f t="array" ref="P121">IF(MOD(ROW()-ROW($G$12),3)=1,INDEX(PSAJ!O:O,INT((ROW()-ROW($G$12))/3)+8),"")</f>
        <v>0</v>
      </c>
      <c r="Q121" s="73">
        <f t="array" ref="Q121">IF(MOD(ROW()-ROW($G$12),3)=1,INDEX(PSAJ!P:P,INT((ROW()-ROW($G$12))/3)+8),"")</f>
        <v>0</v>
      </c>
      <c r="R121" s="73">
        <f t="array" ref="R121">IF(MOD(ROW()-ROW($G$12),3)=1,INDEX(PSAJ!Q:Q,INT((ROW()-ROW($G$12))/3)+8),"")</f>
        <v>0</v>
      </c>
      <c r="S121" s="73">
        <f t="array" ref="S121">IF(MOD(ROW()-ROW($G$12),3)=1,INDEX(PSAJ!R:R,INT((ROW()-ROW($G$12))/3)+8),"")</f>
        <v>0</v>
      </c>
      <c r="T121" s="73">
        <f t="array" ref="T121">IF(MOD(ROW()-ROW($G$12),3)=1,INDEX(PSAJ!S:S,INT((ROW()-ROW($G$12))/3)+8),"")</f>
        <v>0</v>
      </c>
      <c r="U121" s="73">
        <v>0</v>
      </c>
      <c r="V121" s="73">
        <f t="array" ref="V121">IF(MOD(ROW()-ROW($G$12),3)=1,INDEX(PSAJ!T:T,INT((ROW()-ROW($G$12))/3)+8),"")</f>
        <v>0</v>
      </c>
      <c r="W121" s="73">
        <f t="shared" si="109"/>
        <v>0</v>
      </c>
      <c r="X121" s="73">
        <f>IF(MOD(ROW()-ROW($X$12),3)&lt;&gt;2,ROUND(W121/15,2),"")</f>
        <v>0</v>
      </c>
      <c r="Y121" s="70"/>
      <c r="Z121" s="75"/>
      <c r="AA121" s="56"/>
      <c r="AB121" s="56"/>
      <c r="AC121" s="56"/>
      <c r="AD121" s="56"/>
      <c r="AE121" s="56"/>
    </row>
    <row r="122" spans="1:31" ht="14.5">
      <c r="A122" s="70"/>
      <c r="B122" s="70"/>
      <c r="C122" s="70"/>
      <c r="D122" s="71"/>
      <c r="E122" s="70"/>
      <c r="F122" s="76" t="s">
        <v>135</v>
      </c>
      <c r="G122" s="77" t="e">
        <f t="shared" ref="G122:T122" si="110">IF(MOD(ROW()-ROW($G$12),3)=2,((INDEX(G:G,ROW()-2)*$AC$4)+(INDEX(G:G,ROW()-1)*$AE$4))/$AD$5,"")</f>
        <v>#DIV/0!</v>
      </c>
      <c r="H122" s="77" t="e">
        <f t="shared" si="110"/>
        <v>#DIV/0!</v>
      </c>
      <c r="I122" s="77" t="e">
        <f t="shared" si="110"/>
        <v>#DIV/0!</v>
      </c>
      <c r="J122" s="77" t="e">
        <f t="shared" si="110"/>
        <v>#DIV/0!</v>
      </c>
      <c r="K122" s="77" t="e">
        <f t="shared" si="110"/>
        <v>#DIV/0!</v>
      </c>
      <c r="L122" s="77" t="e">
        <f t="shared" si="110"/>
        <v>#DIV/0!</v>
      </c>
      <c r="M122" s="77" t="e">
        <f t="shared" si="110"/>
        <v>#DIV/0!</v>
      </c>
      <c r="N122" s="77" t="e">
        <f t="shared" si="110"/>
        <v>#DIV/0!</v>
      </c>
      <c r="O122" s="77">
        <f t="shared" si="110"/>
        <v>0</v>
      </c>
      <c r="P122" s="77" t="e">
        <f t="shared" si="110"/>
        <v>#DIV/0!</v>
      </c>
      <c r="Q122" s="77" t="e">
        <f t="shared" si="110"/>
        <v>#DIV/0!</v>
      </c>
      <c r="R122" s="77" t="e">
        <f t="shared" si="110"/>
        <v>#DIV/0!</v>
      </c>
      <c r="S122" s="77" t="e">
        <f t="shared" si="110"/>
        <v>#DIV/0!</v>
      </c>
      <c r="T122" s="77" t="e">
        <f t="shared" si="110"/>
        <v>#DIV/0!</v>
      </c>
      <c r="U122" s="77">
        <f t="array" ref="U122">IF(MOD(ROW()-ROW($U$12),3)=2,N(INDEX(U:U,ROW()-2)),0)</f>
        <v>0</v>
      </c>
      <c r="V122" s="77" t="e">
        <f>IF(MOD(ROW()-ROW($G$12),3)=2,((INDEX(V:V,ROW()-2)*$AC$4)+(INDEX(V:V,ROW()-1)*$AE$4))/$AD$5,"")</f>
        <v>#DIV/0!</v>
      </c>
      <c r="W122" s="77" t="e">
        <f>IF(MOD(ROW()-ROW($G$12),3)=2,((INDEX(W:W,ROW()-2)*$AC$4)+(INDEX(W:W,ROW()-1)*$AE$4))/$AD$5,"")</f>
        <v>#DIV/0!</v>
      </c>
      <c r="X122" s="77" t="e">
        <f>IF(MOD(ROW()-ROW($G$12),3)=2,((INDEX(X:X,ROW()-2)*$AC$4)+(INDEX(X:X,ROW()-1)*$AE$4))/$AD$5,"")</f>
        <v>#DIV/0!</v>
      </c>
      <c r="Y122" s="78"/>
      <c r="Z122" s="77"/>
      <c r="AA122" s="56"/>
      <c r="AB122" s="56"/>
      <c r="AC122" s="56"/>
      <c r="AD122" s="56"/>
      <c r="AE122" s="56"/>
    </row>
    <row r="123" spans="1:31" ht="14.5">
      <c r="A123" s="70">
        <f t="shared" ref="A123:A124" si="111">IF(MOD(ROW()-12,3)=0,INT((ROW()-12)/3)+1,"")</f>
        <v>38</v>
      </c>
      <c r="B123" s="70">
        <f t="array" ref="B123">IF(MOD(ROW()-ROW($B$12),3)=0,INDEX(BIODATA!B:B,INT((ROW()-ROW($B$12))/3)+24),"")</f>
        <v>0</v>
      </c>
      <c r="C123" s="70">
        <f t="array" ref="C123">IF(MOD(ROW()-ROW($B$12),3)=0,INDEX(BIODATA!C:C,INT((ROW()-ROW($B$12))/3)+24),"")</f>
        <v>0</v>
      </c>
      <c r="D123" s="71">
        <f t="array" ref="D123">IF(MOD(ROW()-ROW($B$12),3)=0,INDEX(BIODATA!D:D,INT((ROW()-ROW($B$12))/3)+24),"")</f>
        <v>0</v>
      </c>
      <c r="E123" s="70" t="str">
        <f t="array" ref="E123">IF(MOD(ROW()-ROW($B$12),3)=0,INDEX(BIODATA!H:H,INT((ROW()-ROW($B$12))/3)+24),"")</f>
        <v>L</v>
      </c>
      <c r="F123" s="72" t="s">
        <v>134</v>
      </c>
      <c r="G123" s="73" t="e">
        <f t="array" ref="G123">IF(MOD(ROW()-ROW($G$12),3)=0,INDEX(RR!L:L,INT((ROW()-ROW($G$12))/3)+9),"")</f>
        <v>#DIV/0!</v>
      </c>
      <c r="H123" s="73" t="e">
        <f t="array" ref="H123">IF(MOD(ROW()-ROW($H$12),3)=0,INDEX(RR!R:R,INT((ROW()-ROW($H$12))/3)+9),"")</f>
        <v>#DIV/0!</v>
      </c>
      <c r="I123" s="73" t="e">
        <f t="array" ref="I123">IF(MOD(ROW()-ROW($I$12),3)=0,INDEX(RR!X:X,INT((ROW()-ROW($I$12))/3)+9),"")</f>
        <v>#DIV/0!</v>
      </c>
      <c r="J123" s="73" t="e">
        <f t="array" ref="J123">IF(MOD(ROW()-ROW($I$12),3)=0,INDEX(RR!AC:AC,INT((ROW()-ROW($I$12))/3)+9),"")</f>
        <v>#DIV/0!</v>
      </c>
      <c r="K123" s="73" t="e">
        <f t="array" ref="K123">IF(MOD(ROW()-ROW($I$12),3)=0,INDEX(RR!AH:AH,INT((ROW()-ROW($I$12))/3)+9),"")</f>
        <v>#DIV/0!</v>
      </c>
      <c r="L123" s="73" t="e">
        <f t="array" ref="L123">IF(MOD(ROW()-ROW($I$12),3)=0,INDEX(RR!AK:AK,INT((ROW()-ROW($I$12))/3)+9),"")</f>
        <v>#DIV/0!</v>
      </c>
      <c r="M123" s="73" t="e">
        <f t="array" ref="M123">IF(MOD(ROW()-ROW($I$12),3)=0,INDEX(RR!AQ:AQ,INT((ROW()-ROW($I$12))/3)+9),"")</f>
        <v>#DIV/0!</v>
      </c>
      <c r="N123" s="73" t="e">
        <f t="array" ref="N123">IF(MOD(ROW()-ROW($I$12),3)=0,INDEX(RR!AW:AW,INT((ROW()-ROW($I$12))/3)+9),"")</f>
        <v>#DIV/0!</v>
      </c>
      <c r="O123" s="73">
        <f t="array" ref="O123">IF(MOD(ROW()-ROW($I$12),3)=0,INDEX(RR!BB:BB,INT((ROW()-ROW($I$12))/3)+9),"")</f>
        <v>0</v>
      </c>
      <c r="P123" s="73" t="e">
        <f t="array" ref="P123">IF(MOD(ROW()-ROW($I$12),3)=0,INDEX(RR!BF:BF,INT((ROW()-ROW($I$12))/3)+9),"")</f>
        <v>#DIV/0!</v>
      </c>
      <c r="Q123" s="73" t="e">
        <f t="array" ref="Q123">IF(MOD(ROW()-ROW($I$12),3)=0,INDEX(RR!BI:BI,INT((ROW()-ROW($I$12))/3)+9),"")</f>
        <v>#DIV/0!</v>
      </c>
      <c r="R123" s="73" t="e">
        <f t="array" ref="R123">IF(MOD(ROW()-ROW($I$12),3)=0,INDEX(RR!BL:BL,INT((ROW()-ROW($I$12))/3)+9),"")</f>
        <v>#DIV/0!</v>
      </c>
      <c r="S123" s="73" t="e">
        <f t="array" ref="S123">IF(MOD(ROW()-ROW($I$12),3)=0,INDEX(RR!BP:BP,INT((ROW()-ROW($I$12))/3)+9),"")</f>
        <v>#DIV/0!</v>
      </c>
      <c r="T123" s="73" t="e">
        <f t="array" ref="T123">IF(MOD(ROW()-ROW($I$12),3)=0,INDEX(RR!BT:BT,INT((ROW()-ROW($I$12))/3)+9),"")</f>
        <v>#DIV/0!</v>
      </c>
      <c r="U123" s="73">
        <f t="array" ref="U123">IF(MOD(ROW()-ROW($I$12),3)=0,INDEX(RR!BV:BV,INT((ROW()-ROW($I$12))/3)+9),"")</f>
        <v>0</v>
      </c>
      <c r="V123" s="73" t="e">
        <f t="array" ref="V123">IF(MOD(ROW()-ROW($I$12),3)=0,INDEX(RR!BZ:BZ,INT((ROW()-ROW($I$12))/3)+9),"")</f>
        <v>#DIV/0!</v>
      </c>
      <c r="W123" s="73" t="e">
        <f t="shared" ref="W123:W124" si="112">IF(MOD(ROW()-ROW($W$12),3)&lt;&gt;2,SUM(G123:V123),"")</f>
        <v>#DIV/0!</v>
      </c>
      <c r="X123" s="73" t="e">
        <f>IF(MOD(ROW()-ROW($X$12),3)&lt;&gt;2,ROUND(W123/16,2),"")</f>
        <v>#DIV/0!</v>
      </c>
      <c r="Y123" s="70"/>
      <c r="Z123" s="74" t="e">
        <f t="array" ref="Z123">IF(MOD(ROW()-ROW($Z$12),3)=0,IF(INDEX(X:X,ROW()+2)&gt;=$AC$9,"L","TL"),"")</f>
        <v>#DIV/0!</v>
      </c>
      <c r="AA123" s="56"/>
      <c r="AB123" s="56"/>
      <c r="AC123" s="56"/>
      <c r="AD123" s="56"/>
      <c r="AE123" s="56"/>
    </row>
    <row r="124" spans="1:31" ht="14.5">
      <c r="A124" s="70" t="str">
        <f t="shared" si="111"/>
        <v/>
      </c>
      <c r="B124" s="70" t="str">
        <f t="array" ref="B124">IF(MOD(ROW()-ROW($B$12),3)=0,INDEX(BIODATA!B:B,INT((ROW()-ROW($B$12))/3)+24),"")</f>
        <v/>
      </c>
      <c r="C124" s="70"/>
      <c r="D124" s="71"/>
      <c r="E124" s="70"/>
      <c r="F124" s="72" t="s">
        <v>105</v>
      </c>
      <c r="G124" s="73">
        <f t="array" ref="G124">IF(MOD(ROW()-ROW($G$12),3)=1,INDEX(PSAJ!F:F,INT((ROW()-ROW($G$12))/3)+8),"")</f>
        <v>0</v>
      </c>
      <c r="H124" s="73">
        <f t="array" ref="H124">IF(MOD(ROW()-ROW($G$12),3)=1,INDEX(PSAJ!G:G,INT((ROW()-ROW($G$12))/3)+8),"")</f>
        <v>0</v>
      </c>
      <c r="I124" s="73">
        <f t="array" ref="I124">IF(MOD(ROW()-ROW($G$12),3)=1,INDEX(PSAJ!H:H,INT((ROW()-ROW($G$12))/3)+8),"")</f>
        <v>0</v>
      </c>
      <c r="J124" s="73">
        <f t="array" ref="J124">IF(MOD(ROW()-ROW($G$12),3)=1,INDEX(PSAJ!I:I,INT((ROW()-ROW($G$12))/3)+8),"")</f>
        <v>0</v>
      </c>
      <c r="K124" s="73">
        <f t="array" ref="K124">IF(MOD(ROW()-ROW($G$12),3)=1,INDEX(PSAJ!J:J,INT((ROW()-ROW($G$12))/3)+8),"")</f>
        <v>0</v>
      </c>
      <c r="L124" s="73">
        <f t="array" ref="L124">IF(MOD(ROW()-ROW($G$12),3)=1,INDEX(PSAJ!K:K,INT((ROW()-ROW($G$12))/3)+8),"")</f>
        <v>0</v>
      </c>
      <c r="M124" s="73">
        <f t="array" ref="M124">IF(MOD(ROW()-ROW($G$12),3)=1,INDEX(PSAJ!L:L,INT((ROW()-ROW($G$12))/3)+8),"")</f>
        <v>0</v>
      </c>
      <c r="N124" s="73">
        <f t="array" ref="N124">IF(MOD(ROW()-ROW($G$12),3)=1,INDEX(PSAJ!M:M,INT((ROW()-ROW($G$12))/3)+8),"")</f>
        <v>0</v>
      </c>
      <c r="O124" s="73">
        <f t="array" ref="O124">IF(MOD(ROW()-ROW($G$12),3)=1,INDEX(PSAJ!N:N,INT((ROW()-ROW($G$12))/3)+8),"")</f>
        <v>0</v>
      </c>
      <c r="P124" s="73">
        <f t="array" ref="P124">IF(MOD(ROW()-ROW($G$12),3)=1,INDEX(PSAJ!O:O,INT((ROW()-ROW($G$12))/3)+8),"")</f>
        <v>0</v>
      </c>
      <c r="Q124" s="73">
        <f t="array" ref="Q124">IF(MOD(ROW()-ROW($G$12),3)=1,INDEX(PSAJ!P:P,INT((ROW()-ROW($G$12))/3)+8),"")</f>
        <v>0</v>
      </c>
      <c r="R124" s="73">
        <f t="array" ref="R124">IF(MOD(ROW()-ROW($G$12),3)=1,INDEX(PSAJ!Q:Q,INT((ROW()-ROW($G$12))/3)+8),"")</f>
        <v>0</v>
      </c>
      <c r="S124" s="73">
        <f t="array" ref="S124">IF(MOD(ROW()-ROW($G$12),3)=1,INDEX(PSAJ!R:R,INT((ROW()-ROW($G$12))/3)+8),"")</f>
        <v>0</v>
      </c>
      <c r="T124" s="73">
        <f t="array" ref="T124">IF(MOD(ROW()-ROW($G$12),3)=1,INDEX(PSAJ!S:S,INT((ROW()-ROW($G$12))/3)+8),"")</f>
        <v>0</v>
      </c>
      <c r="U124" s="73">
        <v>0</v>
      </c>
      <c r="V124" s="73">
        <f t="array" ref="V124">IF(MOD(ROW()-ROW($G$12),3)=1,INDEX(PSAJ!T:T,INT((ROW()-ROW($G$12))/3)+8),"")</f>
        <v>0</v>
      </c>
      <c r="W124" s="73">
        <f t="shared" si="112"/>
        <v>0</v>
      </c>
      <c r="X124" s="73">
        <f>IF(MOD(ROW()-ROW($X$12),3)&lt;&gt;2,ROUND(W124/15,2),"")</f>
        <v>0</v>
      </c>
      <c r="Y124" s="70"/>
      <c r="Z124" s="75"/>
      <c r="AA124" s="56"/>
      <c r="AB124" s="56"/>
      <c r="AC124" s="56"/>
      <c r="AD124" s="56"/>
      <c r="AE124" s="56"/>
    </row>
    <row r="125" spans="1:31" ht="14.5">
      <c r="A125" s="70"/>
      <c r="B125" s="70"/>
      <c r="C125" s="70"/>
      <c r="D125" s="71"/>
      <c r="E125" s="70"/>
      <c r="F125" s="76" t="s">
        <v>135</v>
      </c>
      <c r="G125" s="77" t="e">
        <f t="shared" ref="G125:T125" si="113">IF(MOD(ROW()-ROW($G$12),3)=2,((INDEX(G:G,ROW()-2)*$AC$4)+(INDEX(G:G,ROW()-1)*$AE$4))/$AD$5,"")</f>
        <v>#DIV/0!</v>
      </c>
      <c r="H125" s="77" t="e">
        <f t="shared" si="113"/>
        <v>#DIV/0!</v>
      </c>
      <c r="I125" s="77" t="e">
        <f t="shared" si="113"/>
        <v>#DIV/0!</v>
      </c>
      <c r="J125" s="77" t="e">
        <f t="shared" si="113"/>
        <v>#DIV/0!</v>
      </c>
      <c r="K125" s="77" t="e">
        <f t="shared" si="113"/>
        <v>#DIV/0!</v>
      </c>
      <c r="L125" s="77" t="e">
        <f t="shared" si="113"/>
        <v>#DIV/0!</v>
      </c>
      <c r="M125" s="77" t="e">
        <f t="shared" si="113"/>
        <v>#DIV/0!</v>
      </c>
      <c r="N125" s="77" t="e">
        <f t="shared" si="113"/>
        <v>#DIV/0!</v>
      </c>
      <c r="O125" s="77">
        <f t="shared" si="113"/>
        <v>0</v>
      </c>
      <c r="P125" s="77" t="e">
        <f t="shared" si="113"/>
        <v>#DIV/0!</v>
      </c>
      <c r="Q125" s="77" t="e">
        <f t="shared" si="113"/>
        <v>#DIV/0!</v>
      </c>
      <c r="R125" s="77" t="e">
        <f t="shared" si="113"/>
        <v>#DIV/0!</v>
      </c>
      <c r="S125" s="77" t="e">
        <f t="shared" si="113"/>
        <v>#DIV/0!</v>
      </c>
      <c r="T125" s="77" t="e">
        <f t="shared" si="113"/>
        <v>#DIV/0!</v>
      </c>
      <c r="U125" s="77">
        <f t="array" ref="U125">IF(MOD(ROW()-ROW($U$12),3)=2,N(INDEX(U:U,ROW()-2)),0)</f>
        <v>0</v>
      </c>
      <c r="V125" s="77" t="e">
        <f>IF(MOD(ROW()-ROW($G$12),3)=2,((INDEX(V:V,ROW()-2)*$AC$4)+(INDEX(V:V,ROW()-1)*$AE$4))/$AD$5,"")</f>
        <v>#DIV/0!</v>
      </c>
      <c r="W125" s="77" t="e">
        <f>IF(MOD(ROW()-ROW($G$12),3)=2,((INDEX(W:W,ROW()-2)*$AC$4)+(INDEX(W:W,ROW()-1)*$AE$4))/$AD$5,"")</f>
        <v>#DIV/0!</v>
      </c>
      <c r="X125" s="77" t="e">
        <f>IF(MOD(ROW()-ROW($G$12),3)=2,((INDEX(X:X,ROW()-2)*$AC$4)+(INDEX(X:X,ROW()-1)*$AE$4))/$AD$5,"")</f>
        <v>#DIV/0!</v>
      </c>
      <c r="Y125" s="78"/>
      <c r="Z125" s="77"/>
      <c r="AA125" s="56"/>
      <c r="AB125" s="56"/>
      <c r="AC125" s="56"/>
      <c r="AD125" s="56"/>
      <c r="AE125" s="56"/>
    </row>
    <row r="126" spans="1:31" ht="14.5">
      <c r="A126" s="70">
        <f t="shared" ref="A126:A127" si="114">IF(MOD(ROW()-12,3)=0,INT((ROW()-12)/3)+1,"")</f>
        <v>39</v>
      </c>
      <c r="B126" s="70">
        <f t="array" ref="B126">IF(MOD(ROW()-ROW($B$12),3)=0,INDEX(BIODATA!B:B,INT((ROW()-ROW($B$12))/3)+24),"")</f>
        <v>0</v>
      </c>
      <c r="C126" s="70">
        <f t="array" ref="C126">IF(MOD(ROW()-ROW($B$12),3)=0,INDEX(BIODATA!C:C,INT((ROW()-ROW($B$12))/3)+24),"")</f>
        <v>0</v>
      </c>
      <c r="D126" s="71">
        <f t="array" ref="D126">IF(MOD(ROW()-ROW($B$12),3)=0,INDEX(BIODATA!D:D,INT((ROW()-ROW($B$12))/3)+24),"")</f>
        <v>0</v>
      </c>
      <c r="E126" s="70" t="str">
        <f t="array" ref="E126">IF(MOD(ROW()-ROW($B$12),3)=0,INDEX(BIODATA!H:H,INT((ROW()-ROW($B$12))/3)+24),"")</f>
        <v>L</v>
      </c>
      <c r="F126" s="72" t="s">
        <v>134</v>
      </c>
      <c r="G126" s="73" t="e">
        <f t="array" ref="G126">IF(MOD(ROW()-ROW($G$12),3)=0,INDEX(RR!L:L,INT((ROW()-ROW($G$12))/3)+9),"")</f>
        <v>#DIV/0!</v>
      </c>
      <c r="H126" s="73" t="e">
        <f t="array" ref="H126">IF(MOD(ROW()-ROW($H$12),3)=0,INDEX(RR!R:R,INT((ROW()-ROW($H$12))/3)+9),"")</f>
        <v>#DIV/0!</v>
      </c>
      <c r="I126" s="73" t="e">
        <f t="array" ref="I126">IF(MOD(ROW()-ROW($I$12),3)=0,INDEX(RR!X:X,INT((ROW()-ROW($I$12))/3)+9),"")</f>
        <v>#DIV/0!</v>
      </c>
      <c r="J126" s="73" t="e">
        <f t="array" ref="J126">IF(MOD(ROW()-ROW($I$12),3)=0,INDEX(RR!AC:AC,INT((ROW()-ROW($I$12))/3)+9),"")</f>
        <v>#DIV/0!</v>
      </c>
      <c r="K126" s="73" t="e">
        <f t="array" ref="K126">IF(MOD(ROW()-ROW($I$12),3)=0,INDEX(RR!AH:AH,INT((ROW()-ROW($I$12))/3)+9),"")</f>
        <v>#DIV/0!</v>
      </c>
      <c r="L126" s="73" t="e">
        <f t="array" ref="L126">IF(MOD(ROW()-ROW($I$12),3)=0,INDEX(RR!AK:AK,INT((ROW()-ROW($I$12))/3)+9),"")</f>
        <v>#DIV/0!</v>
      </c>
      <c r="M126" s="73" t="e">
        <f t="array" ref="M126">IF(MOD(ROW()-ROW($I$12),3)=0,INDEX(RR!AQ:AQ,INT((ROW()-ROW($I$12))/3)+9),"")</f>
        <v>#DIV/0!</v>
      </c>
      <c r="N126" s="73" t="e">
        <f t="array" ref="N126">IF(MOD(ROW()-ROW($I$12),3)=0,INDEX(RR!AW:AW,INT((ROW()-ROW($I$12))/3)+9),"")</f>
        <v>#DIV/0!</v>
      </c>
      <c r="O126" s="73">
        <f t="array" ref="O126">IF(MOD(ROW()-ROW($I$12),3)=0,INDEX(RR!BB:BB,INT((ROW()-ROW($I$12))/3)+9),"")</f>
        <v>0</v>
      </c>
      <c r="P126" s="73" t="e">
        <f t="array" ref="P126">IF(MOD(ROW()-ROW($I$12),3)=0,INDEX(RR!BF:BF,INT((ROW()-ROW($I$12))/3)+9),"")</f>
        <v>#DIV/0!</v>
      </c>
      <c r="Q126" s="73" t="e">
        <f t="array" ref="Q126">IF(MOD(ROW()-ROW($I$12),3)=0,INDEX(RR!BI:BI,INT((ROW()-ROW($I$12))/3)+9),"")</f>
        <v>#DIV/0!</v>
      </c>
      <c r="R126" s="73" t="e">
        <f t="array" ref="R126">IF(MOD(ROW()-ROW($I$12),3)=0,INDEX(RR!BL:BL,INT((ROW()-ROW($I$12))/3)+9),"")</f>
        <v>#DIV/0!</v>
      </c>
      <c r="S126" s="73" t="e">
        <f t="array" ref="S126">IF(MOD(ROW()-ROW($I$12),3)=0,INDEX(RR!BP:BP,INT((ROW()-ROW($I$12))/3)+9),"")</f>
        <v>#DIV/0!</v>
      </c>
      <c r="T126" s="73" t="e">
        <f t="array" ref="T126">IF(MOD(ROW()-ROW($I$12),3)=0,INDEX(RR!BT:BT,INT((ROW()-ROW($I$12))/3)+9),"")</f>
        <v>#DIV/0!</v>
      </c>
      <c r="U126" s="73">
        <f t="array" ref="U126">IF(MOD(ROW()-ROW($I$12),3)=0,INDEX(RR!BV:BV,INT((ROW()-ROW($I$12))/3)+9),"")</f>
        <v>0</v>
      </c>
      <c r="V126" s="73" t="e">
        <f t="array" ref="V126">IF(MOD(ROW()-ROW($I$12),3)=0,INDEX(RR!BZ:BZ,INT((ROW()-ROW($I$12))/3)+9),"")</f>
        <v>#DIV/0!</v>
      </c>
      <c r="W126" s="73" t="e">
        <f t="shared" ref="W126:W127" si="115">IF(MOD(ROW()-ROW($W$12),3)&lt;&gt;2,SUM(G126:V126),"")</f>
        <v>#DIV/0!</v>
      </c>
      <c r="X126" s="73" t="e">
        <f>IF(MOD(ROW()-ROW($X$12),3)&lt;&gt;2,ROUND(W126/16,2),"")</f>
        <v>#DIV/0!</v>
      </c>
      <c r="Y126" s="70"/>
      <c r="Z126" s="74" t="e">
        <f t="array" ref="Z126">IF(MOD(ROW()-ROW($Z$12),3)=0,IF(INDEX(X:X,ROW()+2)&gt;=$AC$9,"L","TL"),"")</f>
        <v>#DIV/0!</v>
      </c>
      <c r="AA126" s="56"/>
      <c r="AB126" s="56"/>
      <c r="AC126" s="56"/>
      <c r="AD126" s="56"/>
      <c r="AE126" s="56"/>
    </row>
    <row r="127" spans="1:31" ht="14.5">
      <c r="A127" s="70" t="str">
        <f t="shared" si="114"/>
        <v/>
      </c>
      <c r="B127" s="70" t="str">
        <f t="array" ref="B127">IF(MOD(ROW()-ROW($B$12),3)=0,INDEX(BIODATA!B:B,INT((ROW()-ROW($B$12))/3)+24),"")</f>
        <v/>
      </c>
      <c r="C127" s="70"/>
      <c r="D127" s="71"/>
      <c r="E127" s="70"/>
      <c r="F127" s="72" t="s">
        <v>105</v>
      </c>
      <c r="G127" s="73">
        <f t="array" ref="G127">IF(MOD(ROW()-ROW($G$12),3)=1,INDEX(PSAJ!F:F,INT((ROW()-ROW($G$12))/3)+8),"")</f>
        <v>0</v>
      </c>
      <c r="H127" s="73">
        <f t="array" ref="H127">IF(MOD(ROW()-ROW($G$12),3)=1,INDEX(PSAJ!G:G,INT((ROW()-ROW($G$12))/3)+8),"")</f>
        <v>0</v>
      </c>
      <c r="I127" s="73">
        <f t="array" ref="I127">IF(MOD(ROW()-ROW($G$12),3)=1,INDEX(PSAJ!H:H,INT((ROW()-ROW($G$12))/3)+8),"")</f>
        <v>0</v>
      </c>
      <c r="J127" s="73">
        <f t="array" ref="J127">IF(MOD(ROW()-ROW($G$12),3)=1,INDEX(PSAJ!I:I,INT((ROW()-ROW($G$12))/3)+8),"")</f>
        <v>0</v>
      </c>
      <c r="K127" s="73">
        <f t="array" ref="K127">IF(MOD(ROW()-ROW($G$12),3)=1,INDEX(PSAJ!J:J,INT((ROW()-ROW($G$12))/3)+8),"")</f>
        <v>0</v>
      </c>
      <c r="L127" s="73">
        <f t="array" ref="L127">IF(MOD(ROW()-ROW($G$12),3)=1,INDEX(PSAJ!K:K,INT((ROW()-ROW($G$12))/3)+8),"")</f>
        <v>0</v>
      </c>
      <c r="M127" s="73">
        <f t="array" ref="M127">IF(MOD(ROW()-ROW($G$12),3)=1,INDEX(PSAJ!L:L,INT((ROW()-ROW($G$12))/3)+8),"")</f>
        <v>0</v>
      </c>
      <c r="N127" s="73">
        <f t="array" ref="N127">IF(MOD(ROW()-ROW($G$12),3)=1,INDEX(PSAJ!M:M,INT((ROW()-ROW($G$12))/3)+8),"")</f>
        <v>0</v>
      </c>
      <c r="O127" s="73">
        <f t="array" ref="O127">IF(MOD(ROW()-ROW($G$12),3)=1,INDEX(PSAJ!N:N,INT((ROW()-ROW($G$12))/3)+8),"")</f>
        <v>0</v>
      </c>
      <c r="P127" s="73">
        <f t="array" ref="P127">IF(MOD(ROW()-ROW($G$12),3)=1,INDEX(PSAJ!O:O,INT((ROW()-ROW($G$12))/3)+8),"")</f>
        <v>0</v>
      </c>
      <c r="Q127" s="73">
        <f t="array" ref="Q127">IF(MOD(ROW()-ROW($G$12),3)=1,INDEX(PSAJ!P:P,INT((ROW()-ROW($G$12))/3)+8),"")</f>
        <v>0</v>
      </c>
      <c r="R127" s="73">
        <f t="array" ref="R127">IF(MOD(ROW()-ROW($G$12),3)=1,INDEX(PSAJ!Q:Q,INT((ROW()-ROW($G$12))/3)+8),"")</f>
        <v>0</v>
      </c>
      <c r="S127" s="73">
        <f t="array" ref="S127">IF(MOD(ROW()-ROW($G$12),3)=1,INDEX(PSAJ!R:R,INT((ROW()-ROW($G$12))/3)+8),"")</f>
        <v>0</v>
      </c>
      <c r="T127" s="73">
        <f t="array" ref="T127">IF(MOD(ROW()-ROW($G$12),3)=1,INDEX(PSAJ!S:S,INT((ROW()-ROW($G$12))/3)+8),"")</f>
        <v>0</v>
      </c>
      <c r="U127" s="73">
        <v>0</v>
      </c>
      <c r="V127" s="73">
        <f t="array" ref="V127">IF(MOD(ROW()-ROW($G$12),3)=1,INDEX(PSAJ!T:T,INT((ROW()-ROW($G$12))/3)+8),"")</f>
        <v>0</v>
      </c>
      <c r="W127" s="73">
        <f t="shared" si="115"/>
        <v>0</v>
      </c>
      <c r="X127" s="73">
        <f>IF(MOD(ROW()-ROW($X$12),3)&lt;&gt;2,ROUND(W127/15,2),"")</f>
        <v>0</v>
      </c>
      <c r="Y127" s="70"/>
      <c r="Z127" s="75"/>
      <c r="AA127" s="56"/>
      <c r="AB127" s="56"/>
      <c r="AC127" s="56"/>
      <c r="AD127" s="56"/>
      <c r="AE127" s="56"/>
    </row>
    <row r="128" spans="1:31" ht="14.5">
      <c r="A128" s="70"/>
      <c r="B128" s="70"/>
      <c r="C128" s="70"/>
      <c r="D128" s="71"/>
      <c r="E128" s="70"/>
      <c r="F128" s="76" t="s">
        <v>135</v>
      </c>
      <c r="G128" s="77" t="e">
        <f t="shared" ref="G128:T128" si="116">IF(MOD(ROW()-ROW($G$12),3)=2,((INDEX(G:G,ROW()-2)*$AC$4)+(INDEX(G:G,ROW()-1)*$AE$4))/$AD$5,"")</f>
        <v>#DIV/0!</v>
      </c>
      <c r="H128" s="77" t="e">
        <f t="shared" si="116"/>
        <v>#DIV/0!</v>
      </c>
      <c r="I128" s="77" t="e">
        <f t="shared" si="116"/>
        <v>#DIV/0!</v>
      </c>
      <c r="J128" s="77" t="e">
        <f t="shared" si="116"/>
        <v>#DIV/0!</v>
      </c>
      <c r="K128" s="77" t="e">
        <f t="shared" si="116"/>
        <v>#DIV/0!</v>
      </c>
      <c r="L128" s="77" t="e">
        <f t="shared" si="116"/>
        <v>#DIV/0!</v>
      </c>
      <c r="M128" s="77" t="e">
        <f t="shared" si="116"/>
        <v>#DIV/0!</v>
      </c>
      <c r="N128" s="77" t="e">
        <f t="shared" si="116"/>
        <v>#DIV/0!</v>
      </c>
      <c r="O128" s="77">
        <f t="shared" si="116"/>
        <v>0</v>
      </c>
      <c r="P128" s="77" t="e">
        <f t="shared" si="116"/>
        <v>#DIV/0!</v>
      </c>
      <c r="Q128" s="77" t="e">
        <f t="shared" si="116"/>
        <v>#DIV/0!</v>
      </c>
      <c r="R128" s="77" t="e">
        <f t="shared" si="116"/>
        <v>#DIV/0!</v>
      </c>
      <c r="S128" s="77" t="e">
        <f t="shared" si="116"/>
        <v>#DIV/0!</v>
      </c>
      <c r="T128" s="77" t="e">
        <f t="shared" si="116"/>
        <v>#DIV/0!</v>
      </c>
      <c r="U128" s="77">
        <f t="array" ref="U128">IF(MOD(ROW()-ROW($U$12),3)=2,N(INDEX(U:U,ROW()-2)),0)</f>
        <v>0</v>
      </c>
      <c r="V128" s="77" t="e">
        <f>IF(MOD(ROW()-ROW($G$12),3)=2,((INDEX(V:V,ROW()-2)*$AC$4)+(INDEX(V:V,ROW()-1)*$AE$4))/$AD$5,"")</f>
        <v>#DIV/0!</v>
      </c>
      <c r="W128" s="77" t="e">
        <f>IF(MOD(ROW()-ROW($G$12),3)=2,((INDEX(W:W,ROW()-2)*$AC$4)+(INDEX(W:W,ROW()-1)*$AE$4))/$AD$5,"")</f>
        <v>#DIV/0!</v>
      </c>
      <c r="X128" s="77" t="e">
        <f>IF(MOD(ROW()-ROW($G$12),3)=2,((INDEX(X:X,ROW()-2)*$AC$4)+(INDEX(X:X,ROW()-1)*$AE$4))/$AD$5,"")</f>
        <v>#DIV/0!</v>
      </c>
      <c r="Y128" s="78"/>
      <c r="Z128" s="77"/>
      <c r="AA128" s="56"/>
      <c r="AB128" s="56"/>
      <c r="AC128" s="56"/>
      <c r="AD128" s="56"/>
      <c r="AE128" s="56"/>
    </row>
    <row r="129" spans="1:31" ht="14.5">
      <c r="A129" s="70">
        <f t="shared" ref="A129:A130" si="117">IF(MOD(ROW()-12,3)=0,INT((ROW()-12)/3)+1,"")</f>
        <v>40</v>
      </c>
      <c r="B129" s="70">
        <f t="array" ref="B129">IF(MOD(ROW()-ROW($B$12),3)=0,INDEX(BIODATA!B:B,INT((ROW()-ROW($B$12))/3)+24),"")</f>
        <v>0</v>
      </c>
      <c r="C129" s="70">
        <f t="array" ref="C129">IF(MOD(ROW()-ROW($B$12),3)=0,INDEX(BIODATA!C:C,INT((ROW()-ROW($B$12))/3)+24),"")</f>
        <v>0</v>
      </c>
      <c r="D129" s="71">
        <f t="array" ref="D129">IF(MOD(ROW()-ROW($B$12),3)=0,INDEX(BIODATA!D:D,INT((ROW()-ROW($B$12))/3)+24),"")</f>
        <v>0</v>
      </c>
      <c r="E129" s="70" t="str">
        <f t="array" ref="E129">IF(MOD(ROW()-ROW($B$12),3)=0,INDEX(BIODATA!H:H,INT((ROW()-ROW($B$12))/3)+24),"")</f>
        <v>L</v>
      </c>
      <c r="F129" s="72" t="s">
        <v>134</v>
      </c>
      <c r="G129" s="73" t="e">
        <f t="array" ref="G129">IF(MOD(ROW()-ROW($G$12),3)=0,INDEX(RR!L:L,INT((ROW()-ROW($G$12))/3)+9),"")</f>
        <v>#DIV/0!</v>
      </c>
      <c r="H129" s="73" t="e">
        <f t="array" ref="H129">IF(MOD(ROW()-ROW($H$12),3)=0,INDEX(RR!R:R,INT((ROW()-ROW($H$12))/3)+9),"")</f>
        <v>#DIV/0!</v>
      </c>
      <c r="I129" s="73" t="e">
        <f t="array" ref="I129">IF(MOD(ROW()-ROW($I$12),3)=0,INDEX(RR!X:X,INT((ROW()-ROW($I$12))/3)+9),"")</f>
        <v>#DIV/0!</v>
      </c>
      <c r="J129" s="73" t="e">
        <f t="array" ref="J129">IF(MOD(ROW()-ROW($I$12),3)=0,INDEX(RR!AC:AC,INT((ROW()-ROW($I$12))/3)+9),"")</f>
        <v>#DIV/0!</v>
      </c>
      <c r="K129" s="73" t="e">
        <f t="array" ref="K129">IF(MOD(ROW()-ROW($I$12),3)=0,INDEX(RR!AH:AH,INT((ROW()-ROW($I$12))/3)+9),"")</f>
        <v>#DIV/0!</v>
      </c>
      <c r="L129" s="73" t="e">
        <f t="array" ref="L129">IF(MOD(ROW()-ROW($I$12),3)=0,INDEX(RR!AK:AK,INT((ROW()-ROW($I$12))/3)+9),"")</f>
        <v>#DIV/0!</v>
      </c>
      <c r="M129" s="73" t="e">
        <f t="array" ref="M129">IF(MOD(ROW()-ROW($I$12),3)=0,INDEX(RR!AQ:AQ,INT((ROW()-ROW($I$12))/3)+9),"")</f>
        <v>#DIV/0!</v>
      </c>
      <c r="N129" s="73" t="e">
        <f t="array" ref="N129">IF(MOD(ROW()-ROW($I$12),3)=0,INDEX(RR!AW:AW,INT((ROW()-ROW($I$12))/3)+9),"")</f>
        <v>#DIV/0!</v>
      </c>
      <c r="O129" s="73">
        <f t="array" ref="O129">IF(MOD(ROW()-ROW($I$12),3)=0,INDEX(RR!BB:BB,INT((ROW()-ROW($I$12))/3)+9),"")</f>
        <v>0</v>
      </c>
      <c r="P129" s="73" t="e">
        <f t="array" ref="P129">IF(MOD(ROW()-ROW($I$12),3)=0,INDEX(RR!BF:BF,INT((ROW()-ROW($I$12))/3)+9),"")</f>
        <v>#DIV/0!</v>
      </c>
      <c r="Q129" s="73" t="e">
        <f t="array" ref="Q129">IF(MOD(ROW()-ROW($I$12),3)=0,INDEX(RR!BI:BI,INT((ROW()-ROW($I$12))/3)+9),"")</f>
        <v>#DIV/0!</v>
      </c>
      <c r="R129" s="73" t="e">
        <f t="array" ref="R129">IF(MOD(ROW()-ROW($I$12),3)=0,INDEX(RR!BL:BL,INT((ROW()-ROW($I$12))/3)+9),"")</f>
        <v>#DIV/0!</v>
      </c>
      <c r="S129" s="73" t="e">
        <f t="array" ref="S129">IF(MOD(ROW()-ROW($I$12),3)=0,INDEX(RR!BP:BP,INT((ROW()-ROW($I$12))/3)+9),"")</f>
        <v>#DIV/0!</v>
      </c>
      <c r="T129" s="73" t="e">
        <f t="array" ref="T129">IF(MOD(ROW()-ROW($I$12),3)=0,INDEX(RR!BT:BT,INT((ROW()-ROW($I$12))/3)+9),"")</f>
        <v>#DIV/0!</v>
      </c>
      <c r="U129" s="73">
        <f t="array" ref="U129">IF(MOD(ROW()-ROW($I$12),3)=0,INDEX(RR!BV:BV,INT((ROW()-ROW($I$12))/3)+9),"")</f>
        <v>0</v>
      </c>
      <c r="V129" s="73" t="e">
        <f t="array" ref="V129">IF(MOD(ROW()-ROW($I$12),3)=0,INDEX(RR!BZ:BZ,INT((ROW()-ROW($I$12))/3)+9),"")</f>
        <v>#DIV/0!</v>
      </c>
      <c r="W129" s="73" t="e">
        <f t="shared" ref="W129:W130" si="118">IF(MOD(ROW()-ROW($W$12),3)&lt;&gt;2,SUM(G129:V129),"")</f>
        <v>#DIV/0!</v>
      </c>
      <c r="X129" s="73" t="e">
        <f>IF(MOD(ROW()-ROW($X$12),3)&lt;&gt;2,ROUND(W129/16,2),"")</f>
        <v>#DIV/0!</v>
      </c>
      <c r="Y129" s="70"/>
      <c r="Z129" s="74" t="e">
        <f t="array" ref="Z129">IF(MOD(ROW()-ROW($Z$12),3)=0,IF(INDEX(X:X,ROW()+2)&gt;=$AC$9,"L","TL"),"")</f>
        <v>#DIV/0!</v>
      </c>
      <c r="AA129" s="56"/>
      <c r="AB129" s="56"/>
      <c r="AC129" s="56"/>
      <c r="AD129" s="56"/>
      <c r="AE129" s="56"/>
    </row>
    <row r="130" spans="1:31" ht="14.5">
      <c r="A130" s="70" t="str">
        <f t="shared" si="117"/>
        <v/>
      </c>
      <c r="B130" s="70" t="str">
        <f t="array" ref="B130">IF(MOD(ROW()-ROW($B$12),3)=0,INDEX(BIODATA!B:B,INT((ROW()-ROW($B$12))/3)+24),"")</f>
        <v/>
      </c>
      <c r="C130" s="70"/>
      <c r="D130" s="71"/>
      <c r="E130" s="70"/>
      <c r="F130" s="72" t="s">
        <v>105</v>
      </c>
      <c r="G130" s="73">
        <f t="array" ref="G130">IF(MOD(ROW()-ROW($G$12),3)=1,INDEX(PSAJ!F:F,INT((ROW()-ROW($G$12))/3)+8),"")</f>
        <v>0</v>
      </c>
      <c r="H130" s="73">
        <f t="array" ref="H130">IF(MOD(ROW()-ROW($G$12),3)=1,INDEX(PSAJ!G:G,INT((ROW()-ROW($G$12))/3)+8),"")</f>
        <v>0</v>
      </c>
      <c r="I130" s="73">
        <f t="array" ref="I130">IF(MOD(ROW()-ROW($G$12),3)=1,INDEX(PSAJ!H:H,INT((ROW()-ROW($G$12))/3)+8),"")</f>
        <v>0</v>
      </c>
      <c r="J130" s="73">
        <f t="array" ref="J130">IF(MOD(ROW()-ROW($G$12),3)=1,INDEX(PSAJ!I:I,INT((ROW()-ROW($G$12))/3)+8),"")</f>
        <v>0</v>
      </c>
      <c r="K130" s="73">
        <f t="array" ref="K130">IF(MOD(ROW()-ROW($G$12),3)=1,INDEX(PSAJ!J:J,INT((ROW()-ROW($G$12))/3)+8),"")</f>
        <v>0</v>
      </c>
      <c r="L130" s="73">
        <f t="array" ref="L130">IF(MOD(ROW()-ROW($G$12),3)=1,INDEX(PSAJ!K:K,INT((ROW()-ROW($G$12))/3)+8),"")</f>
        <v>0</v>
      </c>
      <c r="M130" s="73">
        <f t="array" ref="M130">IF(MOD(ROW()-ROW($G$12),3)=1,INDEX(PSAJ!L:L,INT((ROW()-ROW($G$12))/3)+8),"")</f>
        <v>0</v>
      </c>
      <c r="N130" s="73">
        <f t="array" ref="N130">IF(MOD(ROW()-ROW($G$12),3)=1,INDEX(PSAJ!M:M,INT((ROW()-ROW($G$12))/3)+8),"")</f>
        <v>0</v>
      </c>
      <c r="O130" s="73">
        <f t="array" ref="O130">IF(MOD(ROW()-ROW($G$12),3)=1,INDEX(PSAJ!N:N,INT((ROW()-ROW($G$12))/3)+8),"")</f>
        <v>0</v>
      </c>
      <c r="P130" s="73">
        <f t="array" ref="P130">IF(MOD(ROW()-ROW($G$12),3)=1,INDEX(PSAJ!O:O,INT((ROW()-ROW($G$12))/3)+8),"")</f>
        <v>0</v>
      </c>
      <c r="Q130" s="73">
        <f t="array" ref="Q130">IF(MOD(ROW()-ROW($G$12),3)=1,INDEX(PSAJ!P:P,INT((ROW()-ROW($G$12))/3)+8),"")</f>
        <v>0</v>
      </c>
      <c r="R130" s="73">
        <f t="array" ref="R130">IF(MOD(ROW()-ROW($G$12),3)=1,INDEX(PSAJ!Q:Q,INT((ROW()-ROW($G$12))/3)+8),"")</f>
        <v>0</v>
      </c>
      <c r="S130" s="73">
        <f t="array" ref="S130">IF(MOD(ROW()-ROW($G$12),3)=1,INDEX(PSAJ!R:R,INT((ROW()-ROW($G$12))/3)+8),"")</f>
        <v>0</v>
      </c>
      <c r="T130" s="73">
        <f t="array" ref="T130">IF(MOD(ROW()-ROW($G$12),3)=1,INDEX(PSAJ!S:S,INT((ROW()-ROW($G$12))/3)+8),"")</f>
        <v>0</v>
      </c>
      <c r="U130" s="73">
        <v>0</v>
      </c>
      <c r="V130" s="73">
        <f t="array" ref="V130">IF(MOD(ROW()-ROW($G$12),3)=1,INDEX(PSAJ!T:T,INT((ROW()-ROW($G$12))/3)+8),"")</f>
        <v>0</v>
      </c>
      <c r="W130" s="73">
        <f t="shared" si="118"/>
        <v>0</v>
      </c>
      <c r="X130" s="73">
        <f>IF(MOD(ROW()-ROW($X$12),3)&lt;&gt;2,ROUND(W130/15,2),"")</f>
        <v>0</v>
      </c>
      <c r="Y130" s="70"/>
      <c r="Z130" s="75"/>
      <c r="AA130" s="56"/>
      <c r="AB130" s="56"/>
      <c r="AC130" s="56"/>
      <c r="AD130" s="56"/>
      <c r="AE130" s="56"/>
    </row>
    <row r="131" spans="1:31" ht="14.5">
      <c r="A131" s="70"/>
      <c r="B131" s="70"/>
      <c r="C131" s="70"/>
      <c r="D131" s="71"/>
      <c r="E131" s="70"/>
      <c r="F131" s="76" t="s">
        <v>135</v>
      </c>
      <c r="G131" s="77" t="e">
        <f t="shared" ref="G131:T131" si="119">IF(MOD(ROW()-ROW($G$12),3)=2,((INDEX(G:G,ROW()-2)*$AC$4)+(INDEX(G:G,ROW()-1)*$AE$4))/$AD$5,"")</f>
        <v>#DIV/0!</v>
      </c>
      <c r="H131" s="77" t="e">
        <f t="shared" si="119"/>
        <v>#DIV/0!</v>
      </c>
      <c r="I131" s="77" t="e">
        <f t="shared" si="119"/>
        <v>#DIV/0!</v>
      </c>
      <c r="J131" s="77" t="e">
        <f t="shared" si="119"/>
        <v>#DIV/0!</v>
      </c>
      <c r="K131" s="77" t="e">
        <f t="shared" si="119"/>
        <v>#DIV/0!</v>
      </c>
      <c r="L131" s="77" t="e">
        <f t="shared" si="119"/>
        <v>#DIV/0!</v>
      </c>
      <c r="M131" s="77" t="e">
        <f t="shared" si="119"/>
        <v>#DIV/0!</v>
      </c>
      <c r="N131" s="77" t="e">
        <f t="shared" si="119"/>
        <v>#DIV/0!</v>
      </c>
      <c r="O131" s="77">
        <f t="shared" si="119"/>
        <v>0</v>
      </c>
      <c r="P131" s="77" t="e">
        <f t="shared" si="119"/>
        <v>#DIV/0!</v>
      </c>
      <c r="Q131" s="77" t="e">
        <f t="shared" si="119"/>
        <v>#DIV/0!</v>
      </c>
      <c r="R131" s="77" t="e">
        <f t="shared" si="119"/>
        <v>#DIV/0!</v>
      </c>
      <c r="S131" s="77" t="e">
        <f t="shared" si="119"/>
        <v>#DIV/0!</v>
      </c>
      <c r="T131" s="77" t="e">
        <f t="shared" si="119"/>
        <v>#DIV/0!</v>
      </c>
      <c r="U131" s="77">
        <f t="array" ref="U131">IF(MOD(ROW()-ROW($U$12),3)=2,N(INDEX(U:U,ROW()-2)),0)</f>
        <v>0</v>
      </c>
      <c r="V131" s="77" t="e">
        <f>IF(MOD(ROW()-ROW($G$12),3)=2,((INDEX(V:V,ROW()-2)*$AC$4)+(INDEX(V:V,ROW()-1)*$AE$4))/$AD$5,"")</f>
        <v>#DIV/0!</v>
      </c>
      <c r="W131" s="77" t="e">
        <f>IF(MOD(ROW()-ROW($G$12),3)=2,((INDEX(W:W,ROW()-2)*$AC$4)+(INDEX(W:W,ROW()-1)*$AE$4))/$AD$5,"")</f>
        <v>#DIV/0!</v>
      </c>
      <c r="X131" s="77" t="e">
        <f>IF(MOD(ROW()-ROW($G$12),3)=2,((INDEX(X:X,ROW()-2)*$AC$4)+(INDEX(X:X,ROW()-1)*$AE$4))/$AD$5,"")</f>
        <v>#DIV/0!</v>
      </c>
      <c r="Y131" s="78"/>
      <c r="Z131" s="77"/>
      <c r="AA131" s="56"/>
      <c r="AB131" s="56"/>
      <c r="AC131" s="56"/>
      <c r="AD131" s="56"/>
      <c r="AE131" s="56"/>
    </row>
    <row r="132" spans="1:31" ht="14.5">
      <c r="A132" s="70">
        <f t="shared" ref="A132:A133" si="120">IF(MOD(ROW()-12,3)=0,INT((ROW()-12)/3)+1,"")</f>
        <v>41</v>
      </c>
      <c r="B132" s="70">
        <f t="array" ref="B132">IF(MOD(ROW()-ROW($B$12),3)=0,INDEX(BIODATA!B:B,INT((ROW()-ROW($B$12))/3)+24),"")</f>
        <v>0</v>
      </c>
      <c r="C132" s="70">
        <f t="array" ref="C132">IF(MOD(ROW()-ROW($B$12),3)=0,INDEX(BIODATA!C:C,INT((ROW()-ROW($B$12))/3)+24),"")</f>
        <v>0</v>
      </c>
      <c r="D132" s="71">
        <f t="array" ref="D132">IF(MOD(ROW()-ROW($B$12),3)=0,INDEX(BIODATA!D:D,INT((ROW()-ROW($B$12))/3)+24),"")</f>
        <v>0</v>
      </c>
      <c r="E132" s="70">
        <f t="array" ref="E132">IF(MOD(ROW()-ROW($B$12),3)=0,INDEX(BIODATA!H:H,INT((ROW()-ROW($B$12))/3)+24),"")</f>
        <v>0</v>
      </c>
      <c r="F132" s="72" t="s">
        <v>134</v>
      </c>
      <c r="G132" s="73" t="e">
        <f t="array" ref="G132">IF(MOD(ROW()-ROW($G$12),3)=0,INDEX(RR!L:L,INT((ROW()-ROW($G$12))/3)+9),"")</f>
        <v>#DIV/0!</v>
      </c>
      <c r="H132" s="73" t="e">
        <f t="array" ref="H132">IF(MOD(ROW()-ROW($H$12),3)=0,INDEX(RR!R:R,INT((ROW()-ROW($H$12))/3)+9),"")</f>
        <v>#DIV/0!</v>
      </c>
      <c r="I132" s="73" t="e">
        <f t="array" ref="I132">IF(MOD(ROW()-ROW($I$12),3)=0,INDEX(RR!X:X,INT((ROW()-ROW($I$12))/3)+9),"")</f>
        <v>#DIV/0!</v>
      </c>
      <c r="J132" s="73" t="e">
        <f t="array" ref="J132">IF(MOD(ROW()-ROW($I$12),3)=0,INDEX(RR!AC:AC,INT((ROW()-ROW($I$12))/3)+9),"")</f>
        <v>#DIV/0!</v>
      </c>
      <c r="K132" s="73" t="e">
        <f t="array" ref="K132">IF(MOD(ROW()-ROW($I$12),3)=0,INDEX(RR!AH:AH,INT((ROW()-ROW($I$12))/3)+9),"")</f>
        <v>#DIV/0!</v>
      </c>
      <c r="L132" s="73" t="e">
        <f t="array" ref="L132">IF(MOD(ROW()-ROW($I$12),3)=0,INDEX(RR!AK:AK,INT((ROW()-ROW($I$12))/3)+9),"")</f>
        <v>#DIV/0!</v>
      </c>
      <c r="M132" s="73" t="e">
        <f t="array" ref="M132">IF(MOD(ROW()-ROW($I$12),3)=0,INDEX(RR!AQ:AQ,INT((ROW()-ROW($I$12))/3)+9),"")</f>
        <v>#DIV/0!</v>
      </c>
      <c r="N132" s="73" t="e">
        <f t="array" ref="N132">IF(MOD(ROW()-ROW($I$12),3)=0,INDEX(RR!AW:AW,INT((ROW()-ROW($I$12))/3)+9),"")</f>
        <v>#DIV/0!</v>
      </c>
      <c r="O132" s="73" t="e">
        <f t="array" ref="O132">IF(MOD(ROW()-ROW($I$12),3)=0,INDEX(RR!BB:BB,INT((ROW()-ROW($I$12))/3)+9),"")</f>
        <v>#DIV/0!</v>
      </c>
      <c r="P132" s="73" t="e">
        <f t="array" ref="P132">IF(MOD(ROW()-ROW($I$12),3)=0,INDEX(RR!BF:BF,INT((ROW()-ROW($I$12))/3)+9),"")</f>
        <v>#DIV/0!</v>
      </c>
      <c r="Q132" s="73" t="e">
        <f t="array" ref="Q132">IF(MOD(ROW()-ROW($I$12),3)=0,INDEX(RR!BI:BI,INT((ROW()-ROW($I$12))/3)+9),"")</f>
        <v>#DIV/0!</v>
      </c>
      <c r="R132" s="73" t="e">
        <f t="array" ref="R132">IF(MOD(ROW()-ROW($I$12),3)=0,INDEX(RR!BL:BL,INT((ROW()-ROW($I$12))/3)+9),"")</f>
        <v>#DIV/0!</v>
      </c>
      <c r="S132" s="73" t="e">
        <f t="array" ref="S132">IF(MOD(ROW()-ROW($I$12),3)=0,INDEX(RR!BP:BP,INT((ROW()-ROW($I$12))/3)+9),"")</f>
        <v>#DIV/0!</v>
      </c>
      <c r="T132" s="73" t="e">
        <f t="array" ref="T132">IF(MOD(ROW()-ROW($I$12),3)=0,INDEX(RR!BT:BT,INT((ROW()-ROW($I$12))/3)+9),"")</f>
        <v>#DIV/0!</v>
      </c>
      <c r="U132" s="73">
        <f t="array" ref="U132">IF(MOD(ROW()-ROW($I$12),3)=0,INDEX(RR!BV:BV,INT((ROW()-ROW($I$12))/3)+9),"")</f>
        <v>0</v>
      </c>
      <c r="V132" s="73" t="e">
        <f t="array" ref="V132">IF(MOD(ROW()-ROW($I$12),3)=0,INDEX(RR!BZ:BZ,INT((ROW()-ROW($I$12))/3)+9),"")</f>
        <v>#DIV/0!</v>
      </c>
      <c r="W132" s="73" t="e">
        <f t="shared" ref="W132:W133" si="121">IF(MOD(ROW()-ROW($W$12),3)&lt;&gt;2,SUM(G132:V132),"")</f>
        <v>#DIV/0!</v>
      </c>
      <c r="X132" s="73" t="e">
        <f>IF(MOD(ROW()-ROW($X$12),3)&lt;&gt;2,ROUND(W132/16,2),"")</f>
        <v>#DIV/0!</v>
      </c>
      <c r="Y132" s="70"/>
      <c r="Z132" s="74" t="e">
        <f t="array" ref="Z132">IF(MOD(ROW()-ROW($Z$12),3)=0,IF(INDEX(X:X,ROW()+2)&gt;=$AC$9,"L","TL"),"")</f>
        <v>#DIV/0!</v>
      </c>
      <c r="AA132" s="56"/>
      <c r="AB132" s="56"/>
      <c r="AC132" s="56"/>
      <c r="AD132" s="56"/>
      <c r="AE132" s="56"/>
    </row>
    <row r="133" spans="1:31" ht="14.5">
      <c r="A133" s="70" t="str">
        <f t="shared" si="120"/>
        <v/>
      </c>
      <c r="B133" s="70" t="str">
        <f t="array" ref="B133">IF(MOD(ROW()-ROW($B$12),3)=0,INDEX(BIODATA!B:B,INT((ROW()-ROW($B$12))/3)+24),"")</f>
        <v/>
      </c>
      <c r="C133" s="70"/>
      <c r="D133" s="71"/>
      <c r="E133" s="70"/>
      <c r="F133" s="72" t="s">
        <v>105</v>
      </c>
      <c r="G133" s="73">
        <f t="array" ref="G133">IF(MOD(ROW()-ROW($G$12),3)=1,INDEX(PSAJ!F:F,INT((ROW()-ROW($G$12))/3)+8),"")</f>
        <v>1</v>
      </c>
      <c r="H133" s="73">
        <f t="array" ref="H133">IF(MOD(ROW()-ROW($G$12),3)=1,INDEX(PSAJ!G:G,INT((ROW()-ROW($G$12))/3)+8),"")</f>
        <v>0</v>
      </c>
      <c r="I133" s="73">
        <f t="array" ref="I133">IF(MOD(ROW()-ROW($G$12),3)=1,INDEX(PSAJ!H:H,INT((ROW()-ROW($G$12))/3)+8),"")</f>
        <v>0</v>
      </c>
      <c r="J133" s="73">
        <f t="array" ref="J133">IF(MOD(ROW()-ROW($G$12),3)=1,INDEX(PSAJ!I:I,INT((ROW()-ROW($G$12))/3)+8),"")</f>
        <v>0</v>
      </c>
      <c r="K133" s="73">
        <f t="array" ref="K133">IF(MOD(ROW()-ROW($G$12),3)=1,INDEX(PSAJ!J:J,INT((ROW()-ROW($G$12))/3)+8),"")</f>
        <v>1</v>
      </c>
      <c r="L133" s="73">
        <f t="array" ref="L133">IF(MOD(ROW()-ROW($G$12),3)=1,INDEX(PSAJ!K:K,INT((ROW()-ROW($G$12))/3)+8),"")</f>
        <v>1</v>
      </c>
      <c r="M133" s="73">
        <f t="array" ref="M133">IF(MOD(ROW()-ROW($G$12),3)=1,INDEX(PSAJ!L:L,INT((ROW()-ROW($G$12))/3)+8),"")</f>
        <v>0</v>
      </c>
      <c r="N133" s="73">
        <f t="array" ref="N133">IF(MOD(ROW()-ROW($G$12),3)=1,INDEX(PSAJ!M:M,INT((ROW()-ROW($G$12))/3)+8),"")</f>
        <v>1</v>
      </c>
      <c r="O133" s="73">
        <f t="array" ref="O133">IF(MOD(ROW()-ROW($G$12),3)=1,INDEX(PSAJ!N:N,INT((ROW()-ROW($G$12))/3)+8),"")</f>
        <v>0</v>
      </c>
      <c r="P133" s="73">
        <f t="array" ref="P133">IF(MOD(ROW()-ROW($G$12),3)=1,INDEX(PSAJ!O:O,INT((ROW()-ROW($G$12))/3)+8),"")</f>
        <v>0</v>
      </c>
      <c r="Q133" s="73">
        <f t="array" ref="Q133">IF(MOD(ROW()-ROW($G$12),3)=1,INDEX(PSAJ!P:P,INT((ROW()-ROW($G$12))/3)+8),"")</f>
        <v>1</v>
      </c>
      <c r="R133" s="73">
        <f t="array" ref="R133">IF(MOD(ROW()-ROW($G$12),3)=1,INDEX(PSAJ!Q:Q,INT((ROW()-ROW($G$12))/3)+8),"")</f>
        <v>0</v>
      </c>
      <c r="S133" s="73">
        <f t="array" ref="S133">IF(MOD(ROW()-ROW($G$12),3)=1,INDEX(PSAJ!R:R,INT((ROW()-ROW($G$12))/3)+8),"")</f>
        <v>0</v>
      </c>
      <c r="T133" s="73">
        <f t="array" ref="T133">IF(MOD(ROW()-ROW($G$12),3)=1,INDEX(PSAJ!S:S,INT((ROW()-ROW($G$12))/3)+8),"")</f>
        <v>1</v>
      </c>
      <c r="U133" s="73">
        <v>0</v>
      </c>
      <c r="V133" s="73">
        <f t="array" ref="V133">IF(MOD(ROW()-ROW($G$12),3)=1,INDEX(PSAJ!T:T,INT((ROW()-ROW($G$12))/3)+8),"")</f>
        <v>1</v>
      </c>
      <c r="W133" s="73">
        <f t="shared" si="121"/>
        <v>7</v>
      </c>
      <c r="X133" s="73">
        <f>IF(MOD(ROW()-ROW($X$12),3)&lt;&gt;2,ROUND(W133/15,2),"")</f>
        <v>0.47</v>
      </c>
      <c r="Y133" s="70"/>
      <c r="Z133" s="75"/>
      <c r="AA133" s="56"/>
      <c r="AB133" s="56"/>
      <c r="AC133" s="56"/>
      <c r="AD133" s="56"/>
      <c r="AE133" s="56"/>
    </row>
    <row r="134" spans="1:31" ht="14.5">
      <c r="A134" s="70"/>
      <c r="B134" s="70"/>
      <c r="C134" s="70"/>
      <c r="D134" s="71"/>
      <c r="E134" s="70"/>
      <c r="F134" s="76" t="s">
        <v>135</v>
      </c>
      <c r="G134" s="77" t="e">
        <f t="shared" ref="G134:T134" si="122">IF(MOD(ROW()-ROW($G$12),3)=2,((INDEX(G:G,ROW()-2)*$AC$4)+(INDEX(G:G,ROW()-1)*$AE$4))/$AD$5,"")</f>
        <v>#DIV/0!</v>
      </c>
      <c r="H134" s="77" t="e">
        <f t="shared" si="122"/>
        <v>#DIV/0!</v>
      </c>
      <c r="I134" s="77" t="e">
        <f t="shared" si="122"/>
        <v>#DIV/0!</v>
      </c>
      <c r="J134" s="77" t="e">
        <f t="shared" si="122"/>
        <v>#DIV/0!</v>
      </c>
      <c r="K134" s="77" t="e">
        <f t="shared" si="122"/>
        <v>#DIV/0!</v>
      </c>
      <c r="L134" s="77" t="e">
        <f t="shared" si="122"/>
        <v>#DIV/0!</v>
      </c>
      <c r="M134" s="77" t="e">
        <f t="shared" si="122"/>
        <v>#DIV/0!</v>
      </c>
      <c r="N134" s="77" t="e">
        <f t="shared" si="122"/>
        <v>#DIV/0!</v>
      </c>
      <c r="O134" s="77" t="e">
        <f t="shared" si="122"/>
        <v>#DIV/0!</v>
      </c>
      <c r="P134" s="77" t="e">
        <f t="shared" si="122"/>
        <v>#DIV/0!</v>
      </c>
      <c r="Q134" s="77" t="e">
        <f t="shared" si="122"/>
        <v>#DIV/0!</v>
      </c>
      <c r="R134" s="77" t="e">
        <f t="shared" si="122"/>
        <v>#DIV/0!</v>
      </c>
      <c r="S134" s="77" t="e">
        <f t="shared" si="122"/>
        <v>#DIV/0!</v>
      </c>
      <c r="T134" s="77" t="e">
        <f t="shared" si="122"/>
        <v>#DIV/0!</v>
      </c>
      <c r="U134" s="77">
        <f t="array" ref="U134">IF(MOD(ROW()-ROW($U$12),3)=2,N(INDEX(U:U,ROW()-2)),0)</f>
        <v>0</v>
      </c>
      <c r="V134" s="77" t="e">
        <f>IF(MOD(ROW()-ROW($G$12),3)=2,((INDEX(V:V,ROW()-2)*$AC$4)+(INDEX(V:V,ROW()-1)*$AE$4))/$AD$5,"")</f>
        <v>#DIV/0!</v>
      </c>
      <c r="W134" s="77" t="e">
        <f>IF(MOD(ROW()-ROW($G$12),3)=2,((INDEX(W:W,ROW()-2)*$AC$4)+(INDEX(W:W,ROW()-1)*$AE$4))/$AD$5,"")</f>
        <v>#DIV/0!</v>
      </c>
      <c r="X134" s="77" t="e">
        <f>IF(MOD(ROW()-ROW($G$12),3)=2,((INDEX(X:X,ROW()-2)*$AC$4)+(INDEX(X:X,ROW()-1)*$AE$4))/$AD$5,"")</f>
        <v>#DIV/0!</v>
      </c>
      <c r="Y134" s="78"/>
      <c r="Z134" s="77"/>
      <c r="AA134" s="56"/>
      <c r="AB134" s="56"/>
      <c r="AC134" s="56"/>
      <c r="AD134" s="56"/>
      <c r="AE134" s="56"/>
    </row>
    <row r="135" spans="1:31" ht="14.5">
      <c r="A135" s="70">
        <f t="shared" ref="A135:A136" si="123">IF(MOD(ROW()-12,3)=0,INT((ROW()-12)/3)+1,"")</f>
        <v>42</v>
      </c>
      <c r="B135" s="70">
        <f t="array" ref="B135">IF(MOD(ROW()-ROW($B$12),3)=0,INDEX(BIODATA!B:B,INT((ROW()-ROW($B$12))/3)+24),"")</f>
        <v>0</v>
      </c>
      <c r="C135" s="70">
        <f t="array" ref="C135">IF(MOD(ROW()-ROW($B$12),3)=0,INDEX(BIODATA!C:C,INT((ROW()-ROW($B$12))/3)+24),"")</f>
        <v>0</v>
      </c>
      <c r="D135" s="71">
        <f t="array" ref="D135">IF(MOD(ROW()-ROW($B$12),3)=0,INDEX(BIODATA!D:D,INT((ROW()-ROW($B$12))/3)+24),"")</f>
        <v>0</v>
      </c>
      <c r="E135" s="70">
        <f t="array" ref="E135">IF(MOD(ROW()-ROW($B$12),3)=0,INDEX(BIODATA!H:H,INT((ROW()-ROW($B$12))/3)+24),"")</f>
        <v>0</v>
      </c>
      <c r="F135" s="72" t="s">
        <v>134</v>
      </c>
      <c r="G135" s="73" t="e">
        <f t="array" ref="G135">IF(MOD(ROW()-ROW($G$12),3)=0,INDEX(RR!L:L,INT((ROW()-ROW($G$12))/3)+9),"")</f>
        <v>#DIV/0!</v>
      </c>
      <c r="H135" s="73" t="e">
        <f t="array" ref="H135">IF(MOD(ROW()-ROW($H$12),3)=0,INDEX(RR!R:R,INT((ROW()-ROW($H$12))/3)+9),"")</f>
        <v>#DIV/0!</v>
      </c>
      <c r="I135" s="73" t="e">
        <f t="array" ref="I135">IF(MOD(ROW()-ROW($I$12),3)=0,INDEX(RR!X:X,INT((ROW()-ROW($I$12))/3)+9),"")</f>
        <v>#DIV/0!</v>
      </c>
      <c r="J135" s="73" t="e">
        <f t="array" ref="J135">IF(MOD(ROW()-ROW($I$12),3)=0,INDEX(RR!AC:AC,INT((ROW()-ROW($I$12))/3)+9),"")</f>
        <v>#DIV/0!</v>
      </c>
      <c r="K135" s="73" t="e">
        <f t="array" ref="K135">IF(MOD(ROW()-ROW($I$12),3)=0,INDEX(RR!AH:AH,INT((ROW()-ROW($I$12))/3)+9),"")</f>
        <v>#DIV/0!</v>
      </c>
      <c r="L135" s="73" t="e">
        <f t="array" ref="L135">IF(MOD(ROW()-ROW($I$12),3)=0,INDEX(RR!AK:AK,INT((ROW()-ROW($I$12))/3)+9),"")</f>
        <v>#DIV/0!</v>
      </c>
      <c r="M135" s="73" t="e">
        <f t="array" ref="M135">IF(MOD(ROW()-ROW($I$12),3)=0,INDEX(RR!AQ:AQ,INT((ROW()-ROW($I$12))/3)+9),"")</f>
        <v>#DIV/0!</v>
      </c>
      <c r="N135" s="73" t="e">
        <f t="array" ref="N135">IF(MOD(ROW()-ROW($I$12),3)=0,INDEX(RR!AW:AW,INT((ROW()-ROW($I$12))/3)+9),"")</f>
        <v>#DIV/0!</v>
      </c>
      <c r="O135" s="73">
        <f t="array" ref="O135">IF(MOD(ROW()-ROW($I$12),3)=0,INDEX(RR!BB:BB,INT((ROW()-ROW($I$12))/3)+9),"")</f>
        <v>0</v>
      </c>
      <c r="P135" s="73" t="e">
        <f t="array" ref="P135">IF(MOD(ROW()-ROW($I$12),3)=0,INDEX(RR!BF:BF,INT((ROW()-ROW($I$12))/3)+9),"")</f>
        <v>#DIV/0!</v>
      </c>
      <c r="Q135" s="73" t="e">
        <f t="array" ref="Q135">IF(MOD(ROW()-ROW($I$12),3)=0,INDEX(RR!BI:BI,INT((ROW()-ROW($I$12))/3)+9),"")</f>
        <v>#DIV/0!</v>
      </c>
      <c r="R135" s="73" t="e">
        <f t="array" ref="R135">IF(MOD(ROW()-ROW($I$12),3)=0,INDEX(RR!BL:BL,INT((ROW()-ROW($I$12))/3)+9),"")</f>
        <v>#DIV/0!</v>
      </c>
      <c r="S135" s="73" t="e">
        <f t="array" ref="S135">IF(MOD(ROW()-ROW($I$12),3)=0,INDEX(RR!BP:BP,INT((ROW()-ROW($I$12))/3)+9),"")</f>
        <v>#DIV/0!</v>
      </c>
      <c r="T135" s="73" t="e">
        <f t="array" ref="T135">IF(MOD(ROW()-ROW($I$12),3)=0,INDEX(RR!BT:BT,INT((ROW()-ROW($I$12))/3)+9),"")</f>
        <v>#DIV/0!</v>
      </c>
      <c r="U135" s="73">
        <f t="array" ref="U135">IF(MOD(ROW()-ROW($I$12),3)=0,INDEX(RR!BV:BV,INT((ROW()-ROW($I$12))/3)+9),"")</f>
        <v>0</v>
      </c>
      <c r="V135" s="73" t="e">
        <f t="array" ref="V135">IF(MOD(ROW()-ROW($I$12),3)=0,INDEX(RR!BZ:BZ,INT((ROW()-ROW($I$12))/3)+9),"")</f>
        <v>#DIV/0!</v>
      </c>
      <c r="W135" s="73" t="e">
        <f t="shared" ref="W135:W136" si="124">IF(MOD(ROW()-ROW($W$12),3)&lt;&gt;2,SUM(G135:V135),"")</f>
        <v>#DIV/0!</v>
      </c>
      <c r="X135" s="73" t="e">
        <f>IF(MOD(ROW()-ROW($X$12),3)&lt;&gt;2,ROUND(W135/16,2),"")</f>
        <v>#DIV/0!</v>
      </c>
      <c r="Y135" s="70"/>
      <c r="Z135" s="74" t="e">
        <f t="array" ref="Z135">IF(MOD(ROW()-ROW($Z$12),3)=0,IF(INDEX(X:X,ROW()+2)&gt;=$AC$9,"L","TL"),"")</f>
        <v>#DIV/0!</v>
      </c>
      <c r="AA135" s="56"/>
      <c r="AB135" s="56"/>
      <c r="AC135" s="56"/>
      <c r="AD135" s="56"/>
      <c r="AE135" s="56"/>
    </row>
    <row r="136" spans="1:31" ht="14.5">
      <c r="A136" s="70" t="str">
        <f t="shared" si="123"/>
        <v/>
      </c>
      <c r="B136" s="70" t="str">
        <f t="array" ref="B136">IF(MOD(ROW()-ROW($B$12),3)=0,INDEX(BIODATA!B:B,INT((ROW()-ROW($B$12))/3)+24),"")</f>
        <v/>
      </c>
      <c r="C136" s="70"/>
      <c r="D136" s="71"/>
      <c r="E136" s="70"/>
      <c r="F136" s="72" t="s">
        <v>105</v>
      </c>
      <c r="G136" s="73">
        <f t="array" ref="G136">IF(MOD(ROW()-ROW($G$12),3)=1,INDEX(PSAJ!F:F,INT((ROW()-ROW($G$12))/3)+8),"")</f>
        <v>10</v>
      </c>
      <c r="H136" s="73">
        <f t="array" ref="H136">IF(MOD(ROW()-ROW($G$12),3)=1,INDEX(PSAJ!G:G,INT((ROW()-ROW($G$12))/3)+8),"")</f>
        <v>6</v>
      </c>
      <c r="I136" s="73">
        <f t="array" ref="I136">IF(MOD(ROW()-ROW($G$12),3)=1,INDEX(PSAJ!H:H,INT((ROW()-ROW($G$12))/3)+8),"")</f>
        <v>11</v>
      </c>
      <c r="J136" s="73">
        <f t="array" ref="J136">IF(MOD(ROW()-ROW($G$12),3)=1,INDEX(PSAJ!I:I,INT((ROW()-ROW($G$12))/3)+8),"")</f>
        <v>6</v>
      </c>
      <c r="K136" s="73">
        <f t="array" ref="K136">IF(MOD(ROW()-ROW($G$12),3)=1,INDEX(PSAJ!J:J,INT((ROW()-ROW($G$12))/3)+8),"")</f>
        <v>10</v>
      </c>
      <c r="L136" s="73">
        <f t="array" ref="L136">IF(MOD(ROW()-ROW($G$12),3)=1,INDEX(PSAJ!K:K,INT((ROW()-ROW($G$12))/3)+8),"")</f>
        <v>13</v>
      </c>
      <c r="M136" s="73">
        <f t="array" ref="M136">IF(MOD(ROW()-ROW($G$12),3)=1,INDEX(PSAJ!L:L,INT((ROW()-ROW($G$12))/3)+8),"")</f>
        <v>6</v>
      </c>
      <c r="N136" s="73">
        <f t="array" ref="N136">IF(MOD(ROW()-ROW($G$12),3)=1,INDEX(PSAJ!M:M,INT((ROW()-ROW($G$12))/3)+8),"")</f>
        <v>10</v>
      </c>
      <c r="O136" s="73">
        <f t="array" ref="O136">IF(MOD(ROW()-ROW($G$12),3)=1,INDEX(PSAJ!N:N,INT((ROW()-ROW($G$12))/3)+8),"")</f>
        <v>4</v>
      </c>
      <c r="P136" s="73">
        <f t="array" ref="P136">IF(MOD(ROW()-ROW($G$12),3)=1,INDEX(PSAJ!O:O,INT((ROW()-ROW($G$12))/3)+8),"")</f>
        <v>12</v>
      </c>
      <c r="Q136" s="73">
        <f t="array" ref="Q136">IF(MOD(ROW()-ROW($G$12),3)=1,INDEX(PSAJ!P:P,INT((ROW()-ROW($G$12))/3)+8),"")</f>
        <v>6</v>
      </c>
      <c r="R136" s="73">
        <f t="array" ref="R136">IF(MOD(ROW()-ROW($G$12),3)=1,INDEX(PSAJ!Q:Q,INT((ROW()-ROW($G$12))/3)+8),"")</f>
        <v>18</v>
      </c>
      <c r="S136" s="73">
        <f t="array" ref="S136">IF(MOD(ROW()-ROW($G$12),3)=1,INDEX(PSAJ!R:R,INT((ROW()-ROW($G$12))/3)+8),"")</f>
        <v>18</v>
      </c>
      <c r="T136" s="73">
        <f t="array" ref="T136">IF(MOD(ROW()-ROW($G$12),3)=1,INDEX(PSAJ!S:S,INT((ROW()-ROW($G$12))/3)+8),"")</f>
        <v>12</v>
      </c>
      <c r="U136" s="73">
        <v>0</v>
      </c>
      <c r="V136" s="73">
        <f t="array" ref="V136">IF(MOD(ROW()-ROW($G$12),3)=1,INDEX(PSAJ!T:T,INT((ROW()-ROW($G$12))/3)+8),"")</f>
        <v>12</v>
      </c>
      <c r="W136" s="73">
        <f t="shared" si="124"/>
        <v>154</v>
      </c>
      <c r="X136" s="73">
        <f>IF(MOD(ROW()-ROW($X$12),3)&lt;&gt;2,ROUND(W136/15,2),"")</f>
        <v>10.27</v>
      </c>
      <c r="Y136" s="70"/>
      <c r="Z136" s="75"/>
      <c r="AA136" s="56"/>
      <c r="AB136" s="56"/>
      <c r="AC136" s="56"/>
      <c r="AD136" s="56"/>
      <c r="AE136" s="56"/>
    </row>
    <row r="137" spans="1:31" ht="14.5">
      <c r="A137" s="70"/>
      <c r="B137" s="70"/>
      <c r="C137" s="70"/>
      <c r="D137" s="71"/>
      <c r="E137" s="70"/>
      <c r="F137" s="76" t="s">
        <v>135</v>
      </c>
      <c r="G137" s="77" t="e">
        <f t="shared" ref="G137:T137" si="125">IF(MOD(ROW()-ROW($G$12),3)=2,((INDEX(G:G,ROW()-2)*$AC$4)+(INDEX(G:G,ROW()-1)*$AE$4))/$AD$5,"")</f>
        <v>#DIV/0!</v>
      </c>
      <c r="H137" s="77" t="e">
        <f t="shared" si="125"/>
        <v>#DIV/0!</v>
      </c>
      <c r="I137" s="77" t="e">
        <f t="shared" si="125"/>
        <v>#DIV/0!</v>
      </c>
      <c r="J137" s="77" t="e">
        <f t="shared" si="125"/>
        <v>#DIV/0!</v>
      </c>
      <c r="K137" s="77" t="e">
        <f t="shared" si="125"/>
        <v>#DIV/0!</v>
      </c>
      <c r="L137" s="77" t="e">
        <f t="shared" si="125"/>
        <v>#DIV/0!</v>
      </c>
      <c r="M137" s="77" t="e">
        <f t="shared" si="125"/>
        <v>#DIV/0!</v>
      </c>
      <c r="N137" s="77" t="e">
        <f t="shared" si="125"/>
        <v>#DIV/0!</v>
      </c>
      <c r="O137" s="77">
        <f t="shared" si="125"/>
        <v>2</v>
      </c>
      <c r="P137" s="77" t="e">
        <f t="shared" si="125"/>
        <v>#DIV/0!</v>
      </c>
      <c r="Q137" s="77" t="e">
        <f t="shared" si="125"/>
        <v>#DIV/0!</v>
      </c>
      <c r="R137" s="77" t="e">
        <f t="shared" si="125"/>
        <v>#DIV/0!</v>
      </c>
      <c r="S137" s="77" t="e">
        <f t="shared" si="125"/>
        <v>#DIV/0!</v>
      </c>
      <c r="T137" s="77" t="e">
        <f t="shared" si="125"/>
        <v>#DIV/0!</v>
      </c>
      <c r="U137" s="77">
        <f t="array" ref="U137">IF(MOD(ROW()-ROW($U$12),3)=2,N(INDEX(U:U,ROW()-2)),0)</f>
        <v>0</v>
      </c>
      <c r="V137" s="77" t="e">
        <f>IF(MOD(ROW()-ROW($G$12),3)=2,((INDEX(V:V,ROW()-2)*$AC$4)+(INDEX(V:V,ROW()-1)*$AE$4))/$AD$5,"")</f>
        <v>#DIV/0!</v>
      </c>
      <c r="W137" s="77" t="e">
        <f>IF(MOD(ROW()-ROW($G$12),3)=2,((INDEX(W:W,ROW()-2)*$AC$4)+(INDEX(W:W,ROW()-1)*$AE$4))/$AD$5,"")</f>
        <v>#DIV/0!</v>
      </c>
      <c r="X137" s="77" t="e">
        <f>IF(MOD(ROW()-ROW($G$12),3)=2,((INDEX(X:X,ROW()-2)*$AC$4)+(INDEX(X:X,ROW()-1)*$AE$4))/$AD$5,"")</f>
        <v>#DIV/0!</v>
      </c>
      <c r="Y137" s="78"/>
      <c r="Z137" s="77"/>
      <c r="AA137" s="56"/>
      <c r="AB137" s="56"/>
      <c r="AC137" s="56"/>
      <c r="AD137" s="56"/>
      <c r="AE137" s="56"/>
    </row>
    <row r="138" spans="1:31" ht="14.5">
      <c r="A138" s="70">
        <f t="shared" ref="A138:A139" si="126">IF(MOD(ROW()-12,3)=0,INT((ROW()-12)/3)+1,"")</f>
        <v>43</v>
      </c>
      <c r="B138" s="70">
        <f t="array" ref="B138">IF(MOD(ROW()-ROW($B$12),3)=0,INDEX(BIODATA!B:B,INT((ROW()-ROW($B$12))/3)+24),"")</f>
        <v>0</v>
      </c>
      <c r="C138" s="70">
        <f t="array" ref="C138">IF(MOD(ROW()-ROW($B$12),3)=0,INDEX(BIODATA!C:C,INT((ROW()-ROW($B$12))/3)+24),"")</f>
        <v>0</v>
      </c>
      <c r="D138" s="71">
        <f t="array" ref="D138">IF(MOD(ROW()-ROW($B$12),3)=0,INDEX(BIODATA!D:D,INT((ROW()-ROW($B$12))/3)+24),"")</f>
        <v>0</v>
      </c>
      <c r="E138" s="70">
        <f t="array" ref="E138">IF(MOD(ROW()-ROW($B$12),3)=0,INDEX(BIODATA!H:H,INT((ROW()-ROW($B$12))/3)+24),"")</f>
        <v>0</v>
      </c>
      <c r="F138" s="72" t="s">
        <v>134</v>
      </c>
      <c r="G138" s="73" t="e">
        <f t="array" ref="G138">IF(MOD(ROW()-ROW($G$12),3)=0,INDEX(RR!L:L,INT((ROW()-ROW($G$12))/3)+9),"")</f>
        <v>#DIV/0!</v>
      </c>
      <c r="H138" s="73" t="e">
        <f t="array" ref="H138">IF(MOD(ROW()-ROW($H$12),3)=0,INDEX(RR!R:R,INT((ROW()-ROW($H$12))/3)+9),"")</f>
        <v>#DIV/0!</v>
      </c>
      <c r="I138" s="73" t="e">
        <f t="array" ref="I138">IF(MOD(ROW()-ROW($I$12),3)=0,INDEX(RR!X:X,INT((ROW()-ROW($I$12))/3)+9),"")</f>
        <v>#DIV/0!</v>
      </c>
      <c r="J138" s="73" t="e">
        <f t="array" ref="J138">IF(MOD(ROW()-ROW($I$12),3)=0,INDEX(RR!AC:AC,INT((ROW()-ROW($I$12))/3)+9),"")</f>
        <v>#DIV/0!</v>
      </c>
      <c r="K138" s="73" t="e">
        <f t="array" ref="K138">IF(MOD(ROW()-ROW($I$12),3)=0,INDEX(RR!AH:AH,INT((ROW()-ROW($I$12))/3)+9),"")</f>
        <v>#DIV/0!</v>
      </c>
      <c r="L138" s="73" t="e">
        <f t="array" ref="L138">IF(MOD(ROW()-ROW($I$12),3)=0,INDEX(RR!AK:AK,INT((ROW()-ROW($I$12))/3)+9),"")</f>
        <v>#DIV/0!</v>
      </c>
      <c r="M138" s="73" t="e">
        <f t="array" ref="M138">IF(MOD(ROW()-ROW($I$12),3)=0,INDEX(RR!AQ:AQ,INT((ROW()-ROW($I$12))/3)+9),"")</f>
        <v>#DIV/0!</v>
      </c>
      <c r="N138" s="73" t="e">
        <f t="array" ref="N138">IF(MOD(ROW()-ROW($I$12),3)=0,INDEX(RR!AW:AW,INT((ROW()-ROW($I$12))/3)+9),"")</f>
        <v>#DIV/0!</v>
      </c>
      <c r="O138" s="73">
        <f t="array" ref="O138">IF(MOD(ROW()-ROW($I$12),3)=0,INDEX(RR!BB:BB,INT((ROW()-ROW($I$12))/3)+9),"")</f>
        <v>0</v>
      </c>
      <c r="P138" s="73" t="e">
        <f t="array" ref="P138">IF(MOD(ROW()-ROW($I$12),3)=0,INDEX(RR!BF:BF,INT((ROW()-ROW($I$12))/3)+9),"")</f>
        <v>#DIV/0!</v>
      </c>
      <c r="Q138" s="73" t="e">
        <f t="array" ref="Q138">IF(MOD(ROW()-ROW($I$12),3)=0,INDEX(RR!BI:BI,INT((ROW()-ROW($I$12))/3)+9),"")</f>
        <v>#DIV/0!</v>
      </c>
      <c r="R138" s="73" t="e">
        <f t="array" ref="R138">IF(MOD(ROW()-ROW($I$12),3)=0,INDEX(RR!BL:BL,INT((ROW()-ROW($I$12))/3)+9),"")</f>
        <v>#DIV/0!</v>
      </c>
      <c r="S138" s="73" t="e">
        <f t="array" ref="S138">IF(MOD(ROW()-ROW($I$12),3)=0,INDEX(RR!BP:BP,INT((ROW()-ROW($I$12))/3)+9),"")</f>
        <v>#DIV/0!</v>
      </c>
      <c r="T138" s="73" t="e">
        <f t="array" ref="T138">IF(MOD(ROW()-ROW($I$12),3)=0,INDEX(RR!BT:BT,INT((ROW()-ROW($I$12))/3)+9),"")</f>
        <v>#DIV/0!</v>
      </c>
      <c r="U138" s="73">
        <f t="array" ref="U138">IF(MOD(ROW()-ROW($I$12),3)=0,INDEX(RR!BV:BV,INT((ROW()-ROW($I$12))/3)+9),"")</f>
        <v>0</v>
      </c>
      <c r="V138" s="73" t="e">
        <f t="array" ref="V138">IF(MOD(ROW()-ROW($I$12),3)=0,INDEX(RR!BZ:BZ,INT((ROW()-ROW($I$12))/3)+9),"")</f>
        <v>#DIV/0!</v>
      </c>
      <c r="W138" s="73" t="e">
        <f t="shared" ref="W138:W139" si="127">IF(MOD(ROW()-ROW($W$12),3)&lt;&gt;2,SUM(G138:V138),"")</f>
        <v>#DIV/0!</v>
      </c>
      <c r="X138" s="73" t="e">
        <f>IF(MOD(ROW()-ROW($X$12),3)&lt;&gt;2,ROUND(W138/16,2),"")</f>
        <v>#DIV/0!</v>
      </c>
      <c r="Y138" s="70"/>
      <c r="Z138" s="74" t="e">
        <f t="array" ref="Z138">IF(MOD(ROW()-ROW($Z$12),3)=0,IF(INDEX(X:X,ROW()+2)&gt;=$AC$9,"L","TL"),"")</f>
        <v>#DIV/0!</v>
      </c>
      <c r="AA138" s="56"/>
      <c r="AB138" s="56"/>
      <c r="AC138" s="56"/>
      <c r="AD138" s="56"/>
      <c r="AE138" s="56"/>
    </row>
    <row r="139" spans="1:31" ht="14.5">
      <c r="A139" s="70" t="str">
        <f t="shared" si="126"/>
        <v/>
      </c>
      <c r="B139" s="70" t="str">
        <f t="array" ref="B139">IF(MOD(ROW()-ROW($B$12),3)=0,INDEX(BIODATA!B:B,INT((ROW()-ROW($B$12))/3)+24),"")</f>
        <v/>
      </c>
      <c r="C139" s="70"/>
      <c r="D139" s="71"/>
      <c r="E139" s="70"/>
      <c r="F139" s="72" t="s">
        <v>105</v>
      </c>
      <c r="G139" s="73">
        <f t="array" ref="G139">IF(MOD(ROW()-ROW($G$12),3)=1,INDEX(PSAJ!F:F,INT((ROW()-ROW($G$12))/3)+8),"")</f>
        <v>8</v>
      </c>
      <c r="H139" s="73">
        <f t="array" ref="H139">IF(MOD(ROW()-ROW($G$12),3)=1,INDEX(PSAJ!G:G,INT((ROW()-ROW($G$12))/3)+8),"")</f>
        <v>13</v>
      </c>
      <c r="I139" s="73">
        <f t="array" ref="I139">IF(MOD(ROW()-ROW($G$12),3)=1,INDEX(PSAJ!H:H,INT((ROW()-ROW($G$12))/3)+8),"")</f>
        <v>8</v>
      </c>
      <c r="J139" s="73">
        <f t="array" ref="J139">IF(MOD(ROW()-ROW($G$12),3)=1,INDEX(PSAJ!I:I,INT((ROW()-ROW($G$12))/3)+8),"")</f>
        <v>13</v>
      </c>
      <c r="K139" s="73">
        <f t="array" ref="K139">IF(MOD(ROW()-ROW($G$12),3)=1,INDEX(PSAJ!J:J,INT((ROW()-ROW($G$12))/3)+8),"")</f>
        <v>8</v>
      </c>
      <c r="L139" s="73">
        <f t="array" ref="L139">IF(MOD(ROW()-ROW($G$12),3)=1,INDEX(PSAJ!K:K,INT((ROW()-ROW($G$12))/3)+8),"")</f>
        <v>5</v>
      </c>
      <c r="M139" s="73">
        <f t="array" ref="M139">IF(MOD(ROW()-ROW($G$12),3)=1,INDEX(PSAJ!L:L,INT((ROW()-ROW($G$12))/3)+8),"")</f>
        <v>13</v>
      </c>
      <c r="N139" s="73">
        <f t="array" ref="N139">IF(MOD(ROW()-ROW($G$12),3)=1,INDEX(PSAJ!M:M,INT((ROW()-ROW($G$12))/3)+8),"")</f>
        <v>8</v>
      </c>
      <c r="O139" s="73">
        <f t="array" ref="O139">IF(MOD(ROW()-ROW($G$12),3)=1,INDEX(PSAJ!N:N,INT((ROW()-ROW($G$12))/3)+8),"")</f>
        <v>15</v>
      </c>
      <c r="P139" s="73">
        <f t="array" ref="P139">IF(MOD(ROW()-ROW($G$12),3)=1,INDEX(PSAJ!O:O,INT((ROW()-ROW($G$12))/3)+8),"")</f>
        <v>7</v>
      </c>
      <c r="Q139" s="73">
        <f t="array" ref="Q139">IF(MOD(ROW()-ROW($G$12),3)=1,INDEX(PSAJ!P:P,INT((ROW()-ROW($G$12))/3)+8),"")</f>
        <v>12</v>
      </c>
      <c r="R139" s="73">
        <f t="array" ref="R139">IF(MOD(ROW()-ROW($G$12),3)=1,INDEX(PSAJ!Q:Q,INT((ROW()-ROW($G$12))/3)+8),"")</f>
        <v>1</v>
      </c>
      <c r="S139" s="73">
        <f t="array" ref="S139">IF(MOD(ROW()-ROW($G$12),3)=1,INDEX(PSAJ!R:R,INT((ROW()-ROW($G$12))/3)+8),"")</f>
        <v>1</v>
      </c>
      <c r="T139" s="73">
        <f t="array" ref="T139">IF(MOD(ROW()-ROW($G$12),3)=1,INDEX(PSAJ!S:S,INT((ROW()-ROW($G$12))/3)+8),"")</f>
        <v>6</v>
      </c>
      <c r="U139" s="73">
        <v>0</v>
      </c>
      <c r="V139" s="73">
        <f t="array" ref="V139">IF(MOD(ROW()-ROW($G$12),3)=1,INDEX(PSAJ!T:T,INT((ROW()-ROW($G$12))/3)+8),"")</f>
        <v>6</v>
      </c>
      <c r="W139" s="73">
        <f t="shared" si="127"/>
        <v>124</v>
      </c>
      <c r="X139" s="73">
        <f>IF(MOD(ROW()-ROW($X$12),3)&lt;&gt;2,ROUND(W139/15,2),"")</f>
        <v>8.27</v>
      </c>
      <c r="Y139" s="70"/>
      <c r="Z139" s="75"/>
      <c r="AA139" s="56"/>
      <c r="AB139" s="56"/>
      <c r="AC139" s="56"/>
      <c r="AD139" s="56"/>
      <c r="AE139" s="56"/>
    </row>
    <row r="140" spans="1:31" ht="14.5">
      <c r="A140" s="70"/>
      <c r="B140" s="70"/>
      <c r="C140" s="70"/>
      <c r="D140" s="71"/>
      <c r="E140" s="70"/>
      <c r="F140" s="76" t="s">
        <v>135</v>
      </c>
      <c r="G140" s="77" t="e">
        <f t="shared" ref="G140:T140" si="128">IF(MOD(ROW()-ROW($G$12),3)=2,((INDEX(G:G,ROW()-2)*$AC$4)+(INDEX(G:G,ROW()-1)*$AE$4))/$AD$5,"")</f>
        <v>#DIV/0!</v>
      </c>
      <c r="H140" s="77" t="e">
        <f t="shared" si="128"/>
        <v>#DIV/0!</v>
      </c>
      <c r="I140" s="77" t="e">
        <f t="shared" si="128"/>
        <v>#DIV/0!</v>
      </c>
      <c r="J140" s="77" t="e">
        <f t="shared" si="128"/>
        <v>#DIV/0!</v>
      </c>
      <c r="K140" s="77" t="e">
        <f t="shared" si="128"/>
        <v>#DIV/0!</v>
      </c>
      <c r="L140" s="77" t="e">
        <f t="shared" si="128"/>
        <v>#DIV/0!</v>
      </c>
      <c r="M140" s="77" t="e">
        <f t="shared" si="128"/>
        <v>#DIV/0!</v>
      </c>
      <c r="N140" s="77" t="e">
        <f t="shared" si="128"/>
        <v>#DIV/0!</v>
      </c>
      <c r="O140" s="77">
        <f t="shared" si="128"/>
        <v>7.5</v>
      </c>
      <c r="P140" s="77" t="e">
        <f t="shared" si="128"/>
        <v>#DIV/0!</v>
      </c>
      <c r="Q140" s="77" t="e">
        <f t="shared" si="128"/>
        <v>#DIV/0!</v>
      </c>
      <c r="R140" s="77" t="e">
        <f t="shared" si="128"/>
        <v>#DIV/0!</v>
      </c>
      <c r="S140" s="77" t="e">
        <f t="shared" si="128"/>
        <v>#DIV/0!</v>
      </c>
      <c r="T140" s="77" t="e">
        <f t="shared" si="128"/>
        <v>#DIV/0!</v>
      </c>
      <c r="U140" s="77">
        <f t="array" ref="U140">IF(MOD(ROW()-ROW($U$12),3)=2,N(INDEX(U:U,ROW()-2)),0)</f>
        <v>0</v>
      </c>
      <c r="V140" s="77" t="e">
        <f>IF(MOD(ROW()-ROW($G$12),3)=2,((INDEX(V:V,ROW()-2)*$AC$4)+(INDEX(V:V,ROW()-1)*$AE$4))/$AD$5,"")</f>
        <v>#DIV/0!</v>
      </c>
      <c r="W140" s="77" t="e">
        <f>IF(MOD(ROW()-ROW($G$12),3)=2,((INDEX(W:W,ROW()-2)*$AC$4)+(INDEX(W:W,ROW()-1)*$AE$4))/$AD$5,"")</f>
        <v>#DIV/0!</v>
      </c>
      <c r="X140" s="77" t="e">
        <f>IF(MOD(ROW()-ROW($G$12),3)=2,((INDEX(X:X,ROW()-2)*$AC$4)+(INDEX(X:X,ROW()-1)*$AE$4))/$AD$5,"")</f>
        <v>#DIV/0!</v>
      </c>
      <c r="Y140" s="78"/>
      <c r="Z140" s="77"/>
      <c r="AA140" s="56"/>
      <c r="AB140" s="56"/>
      <c r="AC140" s="56"/>
      <c r="AD140" s="56"/>
      <c r="AE140" s="56"/>
    </row>
    <row r="141" spans="1:31" ht="14.5">
      <c r="A141" s="70">
        <f t="shared" ref="A141:A142" si="129">IF(MOD(ROW()-12,3)=0,INT((ROW()-12)/3)+1,"")</f>
        <v>44</v>
      </c>
      <c r="B141" s="70">
        <f t="array" ref="B141">IF(MOD(ROW()-ROW($B$12),3)=0,INDEX(BIODATA!B:B,INT((ROW()-ROW($B$12))/3)+24),"")</f>
        <v>0</v>
      </c>
      <c r="C141" s="70">
        <f t="array" ref="C141">IF(MOD(ROW()-ROW($B$12),3)=0,INDEX(BIODATA!C:C,INT((ROW()-ROW($B$12))/3)+24),"")</f>
        <v>0</v>
      </c>
      <c r="D141" s="71">
        <f t="array" ref="D141">IF(MOD(ROW()-ROW($B$12),3)=0,INDEX(BIODATA!D:D,INT((ROW()-ROW($B$12))/3)+24),"")</f>
        <v>0</v>
      </c>
      <c r="E141" s="70">
        <f t="array" ref="E141">IF(MOD(ROW()-ROW($B$12),3)=0,INDEX(BIODATA!H:H,INT((ROW()-ROW($B$12))/3)+24),"")</f>
        <v>0</v>
      </c>
      <c r="F141" s="72" t="s">
        <v>134</v>
      </c>
      <c r="G141" s="73">
        <f t="array" ref="G141">IF(MOD(ROW()-ROW($G$12),3)=0,INDEX(RR!L:L,INT((ROW()-ROW($G$12))/3)+9),"")</f>
        <v>0</v>
      </c>
      <c r="H141" s="73">
        <f t="array" ref="H141">IF(MOD(ROW()-ROW($H$12),3)=0,INDEX(RR!R:R,INT((ROW()-ROW($H$12))/3)+9),"")</f>
        <v>0</v>
      </c>
      <c r="I141" s="73">
        <f t="array" ref="I141">IF(MOD(ROW()-ROW($I$12),3)=0,INDEX(RR!X:X,INT((ROW()-ROW($I$12))/3)+9),"")</f>
        <v>0</v>
      </c>
      <c r="J141" s="73">
        <f t="array" ref="J141">IF(MOD(ROW()-ROW($I$12),3)=0,INDEX(RR!AC:AC,INT((ROW()-ROW($I$12))/3)+9),"")</f>
        <v>0</v>
      </c>
      <c r="K141" s="73">
        <f t="array" ref="K141">IF(MOD(ROW()-ROW($I$12),3)=0,INDEX(RR!AH:AH,INT((ROW()-ROW($I$12))/3)+9),"")</f>
        <v>0</v>
      </c>
      <c r="L141" s="73">
        <f t="array" ref="L141">IF(MOD(ROW()-ROW($I$12),3)=0,INDEX(RR!AK:AK,INT((ROW()-ROW($I$12))/3)+9),"")</f>
        <v>0</v>
      </c>
      <c r="M141" s="73">
        <f t="array" ref="M141">IF(MOD(ROW()-ROW($I$12),3)=0,INDEX(RR!AQ:AQ,INT((ROW()-ROW($I$12))/3)+9),"")</f>
        <v>0</v>
      </c>
      <c r="N141" s="73">
        <f t="array" ref="N141">IF(MOD(ROW()-ROW($I$12),3)=0,INDEX(RR!AW:AW,INT((ROW()-ROW($I$12))/3)+9),"")</f>
        <v>0</v>
      </c>
      <c r="O141" s="73">
        <f t="array" ref="O141">IF(MOD(ROW()-ROW($I$12),3)=0,INDEX(RR!BB:BB,INT((ROW()-ROW($I$12))/3)+9),"")</f>
        <v>0</v>
      </c>
      <c r="P141" s="73">
        <f t="array" ref="P141">IF(MOD(ROW()-ROW($I$12),3)=0,INDEX(RR!BF:BF,INT((ROW()-ROW($I$12))/3)+9),"")</f>
        <v>0</v>
      </c>
      <c r="Q141" s="73">
        <f t="array" ref="Q141">IF(MOD(ROW()-ROW($I$12),3)=0,INDEX(RR!BI:BI,INT((ROW()-ROW($I$12))/3)+9),"")</f>
        <v>0</v>
      </c>
      <c r="R141" s="73">
        <f t="array" ref="R141">IF(MOD(ROW()-ROW($I$12),3)=0,INDEX(RR!BL:BL,INT((ROW()-ROW($I$12))/3)+9),"")</f>
        <v>0</v>
      </c>
      <c r="S141" s="73">
        <f t="array" ref="S141">IF(MOD(ROW()-ROW($I$12),3)=0,INDEX(RR!BP:BP,INT((ROW()-ROW($I$12))/3)+9),"")</f>
        <v>0</v>
      </c>
      <c r="T141" s="73">
        <f t="array" ref="T141">IF(MOD(ROW()-ROW($I$12),3)=0,INDEX(RR!BT:BT,INT((ROW()-ROW($I$12))/3)+9),"")</f>
        <v>0</v>
      </c>
      <c r="U141" s="73">
        <f t="array" ref="U141">IF(MOD(ROW()-ROW($I$12),3)=0,INDEX(RR!BV:BV,INT((ROW()-ROW($I$12))/3)+9),"")</f>
        <v>0</v>
      </c>
      <c r="V141" s="73">
        <f t="array" ref="V141">IF(MOD(ROW()-ROW($I$12),3)=0,INDEX(RR!BZ:BZ,INT((ROW()-ROW($I$12))/3)+9),"")</f>
        <v>0</v>
      </c>
      <c r="W141" s="73">
        <f t="shared" ref="W141:W142" si="130">IF(MOD(ROW()-ROW($W$12),3)&lt;&gt;2,SUM(G141:V141),"")</f>
        <v>0</v>
      </c>
      <c r="X141" s="73">
        <f>IF(MOD(ROW()-ROW($X$12),3)&lt;&gt;2,ROUND(W141/16,2),"")</f>
        <v>0</v>
      </c>
      <c r="Y141" s="70"/>
      <c r="Z141" s="74" t="str">
        <f t="array" ref="Z141">IF(MOD(ROW()-ROW($Z$12),3)=0,IF(INDEX(X:X,ROW()+2)&gt;=$AC$9,"L","TL"),"")</f>
        <v>TL</v>
      </c>
      <c r="AA141" s="56"/>
      <c r="AB141" s="56"/>
      <c r="AC141" s="56"/>
      <c r="AD141" s="56"/>
      <c r="AE141" s="56"/>
    </row>
    <row r="142" spans="1:31" ht="14.5">
      <c r="A142" s="70" t="str">
        <f t="shared" si="129"/>
        <v/>
      </c>
      <c r="B142" s="70" t="str">
        <f t="array" ref="B142">IF(MOD(ROW()-ROW($B$12),3)=0,INDEX(BIODATA!B:B,INT((ROW()-ROW($B$12))/3)+24),"")</f>
        <v/>
      </c>
      <c r="C142" s="70"/>
      <c r="D142" s="71"/>
      <c r="E142" s="70"/>
      <c r="F142" s="72" t="s">
        <v>105</v>
      </c>
      <c r="G142" s="73">
        <f t="array" ref="G142">IF(MOD(ROW()-ROW($G$12),3)=1,INDEX(PSAJ!F:F,INT((ROW()-ROW($G$12))/3)+8),"")</f>
        <v>0</v>
      </c>
      <c r="H142" s="73">
        <f t="array" ref="H142">IF(MOD(ROW()-ROW($G$12),3)=1,INDEX(PSAJ!G:G,INT((ROW()-ROW($G$12))/3)+8),"")</f>
        <v>0</v>
      </c>
      <c r="I142" s="73">
        <f t="array" ref="I142">IF(MOD(ROW()-ROW($G$12),3)=1,INDEX(PSAJ!H:H,INT((ROW()-ROW($G$12))/3)+8),"")</f>
        <v>0</v>
      </c>
      <c r="J142" s="73">
        <f t="array" ref="J142">IF(MOD(ROW()-ROW($G$12),3)=1,INDEX(PSAJ!I:I,INT((ROW()-ROW($G$12))/3)+8),"")</f>
        <v>0</v>
      </c>
      <c r="K142" s="73">
        <f t="array" ref="K142">IF(MOD(ROW()-ROW($G$12),3)=1,INDEX(PSAJ!J:J,INT((ROW()-ROW($G$12))/3)+8),"")</f>
        <v>0</v>
      </c>
      <c r="L142" s="73">
        <f t="array" ref="L142">IF(MOD(ROW()-ROW($G$12),3)=1,INDEX(PSAJ!K:K,INT((ROW()-ROW($G$12))/3)+8),"")</f>
        <v>0</v>
      </c>
      <c r="M142" s="73">
        <f t="array" ref="M142">IF(MOD(ROW()-ROW($G$12),3)=1,INDEX(PSAJ!L:L,INT((ROW()-ROW($G$12))/3)+8),"")</f>
        <v>0</v>
      </c>
      <c r="N142" s="73">
        <f t="array" ref="N142">IF(MOD(ROW()-ROW($G$12),3)=1,INDEX(PSAJ!M:M,INT((ROW()-ROW($G$12))/3)+8),"")</f>
        <v>0</v>
      </c>
      <c r="O142" s="73">
        <f t="array" ref="O142">IF(MOD(ROW()-ROW($G$12),3)=1,INDEX(PSAJ!N:N,INT((ROW()-ROW($G$12))/3)+8),"")</f>
        <v>0</v>
      </c>
      <c r="P142" s="73">
        <f t="array" ref="P142">IF(MOD(ROW()-ROW($G$12),3)=1,INDEX(PSAJ!O:O,INT((ROW()-ROW($G$12))/3)+8),"")</f>
        <v>0</v>
      </c>
      <c r="Q142" s="73">
        <f t="array" ref="Q142">IF(MOD(ROW()-ROW($G$12),3)=1,INDEX(PSAJ!P:P,INT((ROW()-ROW($G$12))/3)+8),"")</f>
        <v>0</v>
      </c>
      <c r="R142" s="73">
        <f t="array" ref="R142">IF(MOD(ROW()-ROW($G$12),3)=1,INDEX(PSAJ!Q:Q,INT((ROW()-ROW($G$12))/3)+8),"")</f>
        <v>0</v>
      </c>
      <c r="S142" s="73">
        <f t="array" ref="S142">IF(MOD(ROW()-ROW($G$12),3)=1,INDEX(PSAJ!R:R,INT((ROW()-ROW($G$12))/3)+8),"")</f>
        <v>0</v>
      </c>
      <c r="T142" s="73">
        <f t="array" ref="T142">IF(MOD(ROW()-ROW($G$12),3)=1,INDEX(PSAJ!S:S,INT((ROW()-ROW($G$12))/3)+8),"")</f>
        <v>0</v>
      </c>
      <c r="U142" s="73">
        <v>0</v>
      </c>
      <c r="V142" s="73">
        <f t="array" ref="V142">IF(MOD(ROW()-ROW($G$12),3)=1,INDEX(PSAJ!T:T,INT((ROW()-ROW($G$12))/3)+8),"")</f>
        <v>0</v>
      </c>
      <c r="W142" s="73">
        <f t="shared" si="130"/>
        <v>0</v>
      </c>
      <c r="X142" s="73">
        <f>IF(MOD(ROW()-ROW($X$12),3)&lt;&gt;2,ROUND(W142/15,2),"")</f>
        <v>0</v>
      </c>
      <c r="Y142" s="70"/>
      <c r="Z142" s="75"/>
      <c r="AA142" s="56"/>
      <c r="AB142" s="56"/>
      <c r="AC142" s="56"/>
      <c r="AD142" s="56"/>
      <c r="AE142" s="56"/>
    </row>
    <row r="143" spans="1:31" ht="14.5">
      <c r="A143" s="70"/>
      <c r="B143" s="70"/>
      <c r="C143" s="70"/>
      <c r="D143" s="71"/>
      <c r="E143" s="70"/>
      <c r="F143" s="76" t="s">
        <v>135</v>
      </c>
      <c r="G143" s="77">
        <f t="shared" ref="G143:T143" si="131">IF(MOD(ROW()-ROW($G$12),3)=2,((INDEX(G:G,ROW()-2)*$AC$4)+(INDEX(G:G,ROW()-1)*$AE$4))/$AD$5,"")</f>
        <v>0</v>
      </c>
      <c r="H143" s="77">
        <f t="shared" si="131"/>
        <v>0</v>
      </c>
      <c r="I143" s="77">
        <f t="shared" si="131"/>
        <v>0</v>
      </c>
      <c r="J143" s="77">
        <f t="shared" si="131"/>
        <v>0</v>
      </c>
      <c r="K143" s="77">
        <f t="shared" si="131"/>
        <v>0</v>
      </c>
      <c r="L143" s="77">
        <f t="shared" si="131"/>
        <v>0</v>
      </c>
      <c r="M143" s="77">
        <f t="shared" si="131"/>
        <v>0</v>
      </c>
      <c r="N143" s="77">
        <f t="shared" si="131"/>
        <v>0</v>
      </c>
      <c r="O143" s="77">
        <f t="shared" si="131"/>
        <v>0</v>
      </c>
      <c r="P143" s="77">
        <f t="shared" si="131"/>
        <v>0</v>
      </c>
      <c r="Q143" s="77">
        <f t="shared" si="131"/>
        <v>0</v>
      </c>
      <c r="R143" s="77">
        <f t="shared" si="131"/>
        <v>0</v>
      </c>
      <c r="S143" s="77">
        <f t="shared" si="131"/>
        <v>0</v>
      </c>
      <c r="T143" s="77">
        <f t="shared" si="131"/>
        <v>0</v>
      </c>
      <c r="U143" s="77">
        <f t="array" ref="U143">IF(MOD(ROW()-ROW($U$12),3)=2,N(INDEX(U:U,ROW()-2)),0)</f>
        <v>0</v>
      </c>
      <c r="V143" s="77">
        <f>IF(MOD(ROW()-ROW($G$12),3)=2,((INDEX(V:V,ROW()-2)*$AC$4)+(INDEX(V:V,ROW()-1)*$AE$4))/$AD$5,"")</f>
        <v>0</v>
      </c>
      <c r="W143" s="77">
        <f>IF(MOD(ROW()-ROW($G$12),3)=2,((INDEX(W:W,ROW()-2)*$AC$4)+(INDEX(W:W,ROW()-1)*$AE$4))/$AD$5,"")</f>
        <v>0</v>
      </c>
      <c r="X143" s="77">
        <f>IF(MOD(ROW()-ROW($G$12),3)=2,((INDEX(X:X,ROW()-2)*$AC$4)+(INDEX(X:X,ROW()-1)*$AE$4))/$AD$5,"")</f>
        <v>0</v>
      </c>
      <c r="Y143" s="78"/>
      <c r="Z143" s="77"/>
      <c r="AA143" s="56"/>
      <c r="AB143" s="56"/>
      <c r="AC143" s="56"/>
      <c r="AD143" s="56"/>
      <c r="AE143" s="56"/>
    </row>
    <row r="144" spans="1:31" ht="14.5">
      <c r="A144" s="70">
        <f t="shared" ref="A144:A145" si="132">IF(MOD(ROW()-12,3)=0,INT((ROW()-12)/3)+1,"")</f>
        <v>45</v>
      </c>
      <c r="B144" s="70">
        <f t="array" ref="B144">IF(MOD(ROW()-ROW($B$12),3)=0,INDEX(BIODATA!B:B,INT((ROW()-ROW($B$12))/3)+24),"")</f>
        <v>0</v>
      </c>
      <c r="C144" s="70">
        <f t="array" ref="C144">IF(MOD(ROW()-ROW($B$12),3)=0,INDEX(BIODATA!C:C,INT((ROW()-ROW($B$12))/3)+24),"")</f>
        <v>0</v>
      </c>
      <c r="D144" s="71">
        <f t="array" ref="D144">IF(MOD(ROW()-ROW($B$12),3)=0,INDEX(BIODATA!D:D,INT((ROW()-ROW($B$12))/3)+24),"")</f>
        <v>0</v>
      </c>
      <c r="E144" s="70">
        <f t="array" ref="E144">IF(MOD(ROW()-ROW($B$12),3)=0,INDEX(BIODATA!H:H,INT((ROW()-ROW($B$12))/3)+24),"")</f>
        <v>0</v>
      </c>
      <c r="F144" s="72" t="s">
        <v>134</v>
      </c>
      <c r="G144" s="73">
        <f t="array" ref="G144">IF(MOD(ROW()-ROW($G$12),3)=0,INDEX(RR!L:L,INT((ROW()-ROW($G$12))/3)+9),"")</f>
        <v>0</v>
      </c>
      <c r="H144" s="73">
        <f t="array" ref="H144">IF(MOD(ROW()-ROW($H$12),3)=0,INDEX(RR!R:R,INT((ROW()-ROW($H$12))/3)+9),"")</f>
        <v>0</v>
      </c>
      <c r="I144" s="73">
        <f t="array" ref="I144">IF(MOD(ROW()-ROW($I$12),3)=0,INDEX(RR!X:X,INT((ROW()-ROW($I$12))/3)+9),"")</f>
        <v>0</v>
      </c>
      <c r="J144" s="73">
        <f t="array" ref="J144">IF(MOD(ROW()-ROW($I$12),3)=0,INDEX(RR!AC:AC,INT((ROW()-ROW($I$12))/3)+9),"")</f>
        <v>0</v>
      </c>
      <c r="K144" s="73">
        <f t="array" ref="K144">IF(MOD(ROW()-ROW($I$12),3)=0,INDEX(RR!AH:AH,INT((ROW()-ROW($I$12))/3)+9),"")</f>
        <v>0</v>
      </c>
      <c r="L144" s="73">
        <f t="array" ref="L144">IF(MOD(ROW()-ROW($I$12),3)=0,INDEX(RR!AK:AK,INT((ROW()-ROW($I$12))/3)+9),"")</f>
        <v>0</v>
      </c>
      <c r="M144" s="73">
        <f t="array" ref="M144">IF(MOD(ROW()-ROW($I$12),3)=0,INDEX(RR!AQ:AQ,INT((ROW()-ROW($I$12))/3)+9),"")</f>
        <v>0</v>
      </c>
      <c r="N144" s="73">
        <f t="array" ref="N144">IF(MOD(ROW()-ROW($I$12),3)=0,INDEX(RR!AW:AW,INT((ROW()-ROW($I$12))/3)+9),"")</f>
        <v>0</v>
      </c>
      <c r="O144" s="73">
        <f t="array" ref="O144">IF(MOD(ROW()-ROW($I$12),3)=0,INDEX(RR!BB:BB,INT((ROW()-ROW($I$12))/3)+9),"")</f>
        <v>0</v>
      </c>
      <c r="P144" s="73">
        <f t="array" ref="P144">IF(MOD(ROW()-ROW($I$12),3)=0,INDEX(RR!BF:BF,INT((ROW()-ROW($I$12))/3)+9),"")</f>
        <v>0</v>
      </c>
      <c r="Q144" s="73">
        <f t="array" ref="Q144">IF(MOD(ROW()-ROW($I$12),3)=0,INDEX(RR!BI:BI,INT((ROW()-ROW($I$12))/3)+9),"")</f>
        <v>0</v>
      </c>
      <c r="R144" s="73">
        <f t="array" ref="R144">IF(MOD(ROW()-ROW($I$12),3)=0,INDEX(RR!BL:BL,INT((ROW()-ROW($I$12))/3)+9),"")</f>
        <v>0</v>
      </c>
      <c r="S144" s="73">
        <f t="array" ref="S144">IF(MOD(ROW()-ROW($I$12),3)=0,INDEX(RR!BP:BP,INT((ROW()-ROW($I$12))/3)+9),"")</f>
        <v>0</v>
      </c>
      <c r="T144" s="73">
        <f t="array" ref="T144">IF(MOD(ROW()-ROW($I$12),3)=0,INDEX(RR!BT:BT,INT((ROW()-ROW($I$12))/3)+9),"")</f>
        <v>0</v>
      </c>
      <c r="U144" s="73">
        <f t="array" ref="U144">IF(MOD(ROW()-ROW($I$12),3)=0,INDEX(RR!BV:BV,INT((ROW()-ROW($I$12))/3)+9),"")</f>
        <v>0</v>
      </c>
      <c r="V144" s="73">
        <f t="array" ref="V144">IF(MOD(ROW()-ROW($I$12),3)=0,INDEX(RR!BZ:BZ,INT((ROW()-ROW($I$12))/3)+9),"")</f>
        <v>0</v>
      </c>
      <c r="W144" s="73">
        <f t="shared" ref="W144:W145" si="133">IF(MOD(ROW()-ROW($W$12),3)&lt;&gt;2,SUM(G144:V144),"")</f>
        <v>0</v>
      </c>
      <c r="X144" s="73">
        <f>IF(MOD(ROW()-ROW($X$12),3)&lt;&gt;2,ROUND(W144/16,2),"")</f>
        <v>0</v>
      </c>
      <c r="Y144" s="70"/>
      <c r="Z144" s="74" t="str">
        <f t="array" ref="Z144">IF(MOD(ROW()-ROW($Z$12),3)=0,IF(INDEX(X:X,ROW()+2)&gt;=$AC$9,"L","TL"),"")</f>
        <v>TL</v>
      </c>
      <c r="AA144" s="56"/>
      <c r="AB144" s="56"/>
      <c r="AC144" s="56"/>
      <c r="AD144" s="56"/>
      <c r="AE144" s="56"/>
    </row>
    <row r="145" spans="1:31" ht="14.5">
      <c r="A145" s="70" t="str">
        <f t="shared" si="132"/>
        <v/>
      </c>
      <c r="B145" s="70" t="str">
        <f t="array" ref="B145">IF(MOD(ROW()-ROW($B$12),3)=0,INDEX(BIODATA!B:B,INT((ROW()-ROW($B$12))/3)+24),"")</f>
        <v/>
      </c>
      <c r="C145" s="70"/>
      <c r="D145" s="71"/>
      <c r="E145" s="70"/>
      <c r="F145" s="72" t="s">
        <v>105</v>
      </c>
      <c r="G145" s="73">
        <f t="array" ref="G145">IF(MOD(ROW()-ROW($G$12),3)=1,INDEX(PSAJ!F:F,INT((ROW()-ROW($G$12))/3)+8),"")</f>
        <v>0</v>
      </c>
      <c r="H145" s="73">
        <f t="array" ref="H145">IF(MOD(ROW()-ROW($G$12),3)=1,INDEX(PSAJ!G:G,INT((ROW()-ROW($G$12))/3)+8),"")</f>
        <v>0</v>
      </c>
      <c r="I145" s="73">
        <f t="array" ref="I145">IF(MOD(ROW()-ROW($G$12),3)=1,INDEX(PSAJ!H:H,INT((ROW()-ROW($G$12))/3)+8),"")</f>
        <v>0</v>
      </c>
      <c r="J145" s="73">
        <f t="array" ref="J145">IF(MOD(ROW()-ROW($G$12),3)=1,INDEX(PSAJ!I:I,INT((ROW()-ROW($G$12))/3)+8),"")</f>
        <v>0</v>
      </c>
      <c r="K145" s="73">
        <f t="array" ref="K145">IF(MOD(ROW()-ROW($G$12),3)=1,INDEX(PSAJ!J:J,INT((ROW()-ROW($G$12))/3)+8),"")</f>
        <v>0</v>
      </c>
      <c r="L145" s="73">
        <f t="array" ref="L145">IF(MOD(ROW()-ROW($G$12),3)=1,INDEX(PSAJ!K:K,INT((ROW()-ROW($G$12))/3)+8),"")</f>
        <v>0</v>
      </c>
      <c r="M145" s="73">
        <f t="array" ref="M145">IF(MOD(ROW()-ROW($G$12),3)=1,INDEX(PSAJ!L:L,INT((ROW()-ROW($G$12))/3)+8),"")</f>
        <v>0</v>
      </c>
      <c r="N145" s="73">
        <f t="array" ref="N145">IF(MOD(ROW()-ROW($G$12),3)=1,INDEX(PSAJ!M:M,INT((ROW()-ROW($G$12))/3)+8),"")</f>
        <v>0</v>
      </c>
      <c r="O145" s="73">
        <f t="array" ref="O145">IF(MOD(ROW()-ROW($G$12),3)=1,INDEX(PSAJ!N:N,INT((ROW()-ROW($G$12))/3)+8),"")</f>
        <v>0</v>
      </c>
      <c r="P145" s="73">
        <f t="array" ref="P145">IF(MOD(ROW()-ROW($G$12),3)=1,INDEX(PSAJ!O:O,INT((ROW()-ROW($G$12))/3)+8),"")</f>
        <v>0</v>
      </c>
      <c r="Q145" s="73">
        <f t="array" ref="Q145">IF(MOD(ROW()-ROW($G$12),3)=1,INDEX(PSAJ!P:P,INT((ROW()-ROW($G$12))/3)+8),"")</f>
        <v>0</v>
      </c>
      <c r="R145" s="73">
        <f t="array" ref="R145">IF(MOD(ROW()-ROW($G$12),3)=1,INDEX(PSAJ!Q:Q,INT((ROW()-ROW($G$12))/3)+8),"")</f>
        <v>0</v>
      </c>
      <c r="S145" s="73">
        <f t="array" ref="S145">IF(MOD(ROW()-ROW($G$12),3)=1,INDEX(PSAJ!R:R,INT((ROW()-ROW($G$12))/3)+8),"")</f>
        <v>0</v>
      </c>
      <c r="T145" s="73">
        <f t="array" ref="T145">IF(MOD(ROW()-ROW($G$12),3)=1,INDEX(PSAJ!S:S,INT((ROW()-ROW($G$12))/3)+8),"")</f>
        <v>0</v>
      </c>
      <c r="U145" s="73">
        <v>0</v>
      </c>
      <c r="V145" s="73">
        <f t="array" ref="V145">IF(MOD(ROW()-ROW($G$12),3)=1,INDEX(PSAJ!T:T,INT((ROW()-ROW($G$12))/3)+8),"")</f>
        <v>0</v>
      </c>
      <c r="W145" s="73">
        <f t="shared" si="133"/>
        <v>0</v>
      </c>
      <c r="X145" s="73">
        <f>IF(MOD(ROW()-ROW($X$12),3)&lt;&gt;2,ROUND(W145/15,2),"")</f>
        <v>0</v>
      </c>
      <c r="Y145" s="70"/>
      <c r="Z145" s="75"/>
      <c r="AA145" s="56"/>
      <c r="AB145" s="56"/>
      <c r="AC145" s="56"/>
      <c r="AD145" s="56"/>
      <c r="AE145" s="56"/>
    </row>
    <row r="146" spans="1:31" ht="14.5">
      <c r="A146" s="70"/>
      <c r="B146" s="70"/>
      <c r="C146" s="70"/>
      <c r="D146" s="71"/>
      <c r="E146" s="70"/>
      <c r="F146" s="76" t="s">
        <v>135</v>
      </c>
      <c r="G146" s="77">
        <f t="shared" ref="G146:T146" si="134">IF(MOD(ROW()-ROW($G$12),3)=2,((INDEX(G:G,ROW()-2)*$AC$4)+(INDEX(G:G,ROW()-1)*$AE$4))/$AD$5,"")</f>
        <v>0</v>
      </c>
      <c r="H146" s="77">
        <f t="shared" si="134"/>
        <v>0</v>
      </c>
      <c r="I146" s="77">
        <f t="shared" si="134"/>
        <v>0</v>
      </c>
      <c r="J146" s="77">
        <f t="shared" si="134"/>
        <v>0</v>
      </c>
      <c r="K146" s="77">
        <f t="shared" si="134"/>
        <v>0</v>
      </c>
      <c r="L146" s="77">
        <f t="shared" si="134"/>
        <v>0</v>
      </c>
      <c r="M146" s="77">
        <f t="shared" si="134"/>
        <v>0</v>
      </c>
      <c r="N146" s="77">
        <f t="shared" si="134"/>
        <v>0</v>
      </c>
      <c r="O146" s="77">
        <f t="shared" si="134"/>
        <v>0</v>
      </c>
      <c r="P146" s="77">
        <f t="shared" si="134"/>
        <v>0</v>
      </c>
      <c r="Q146" s="77">
        <f t="shared" si="134"/>
        <v>0</v>
      </c>
      <c r="R146" s="77">
        <f t="shared" si="134"/>
        <v>0</v>
      </c>
      <c r="S146" s="77">
        <f t="shared" si="134"/>
        <v>0</v>
      </c>
      <c r="T146" s="77">
        <f t="shared" si="134"/>
        <v>0</v>
      </c>
      <c r="U146" s="77">
        <f t="array" ref="U146">IF(MOD(ROW()-ROW($U$12),3)=2,N(INDEX(U:U,ROW()-2)),0)</f>
        <v>0</v>
      </c>
      <c r="V146" s="77">
        <f>IF(MOD(ROW()-ROW($G$12),3)=2,((INDEX(V:V,ROW()-2)*$AC$4)+(INDEX(V:V,ROW()-1)*$AE$4))/$AD$5,"")</f>
        <v>0</v>
      </c>
      <c r="W146" s="77">
        <f>IF(MOD(ROW()-ROW($G$12),3)=2,((INDEX(W:W,ROW()-2)*$AC$4)+(INDEX(W:W,ROW()-1)*$AE$4))/$AD$5,"")</f>
        <v>0</v>
      </c>
      <c r="X146" s="77">
        <f>IF(MOD(ROW()-ROW($G$12),3)=2,((INDEX(X:X,ROW()-2)*$AC$4)+(INDEX(X:X,ROW()-1)*$AE$4))/$AD$5,"")</f>
        <v>0</v>
      </c>
      <c r="Y146" s="78"/>
      <c r="Z146" s="77"/>
      <c r="AA146" s="56"/>
      <c r="AB146" s="56"/>
      <c r="AC146" s="56"/>
      <c r="AD146" s="56"/>
      <c r="AE146" s="56"/>
    </row>
    <row r="147" spans="1:31" ht="14.5">
      <c r="A147" s="70">
        <f t="shared" ref="A147:A148" si="135">IF(MOD(ROW()-12,3)=0,INT((ROW()-12)/3)+1,"")</f>
        <v>46</v>
      </c>
      <c r="B147" s="70">
        <f t="array" ref="B147">IF(MOD(ROW()-ROW($B$12),3)=0,INDEX(BIODATA!B:B,INT((ROW()-ROW($B$12))/3)+24),"")</f>
        <v>0</v>
      </c>
      <c r="C147" s="70">
        <f t="array" ref="C147">IF(MOD(ROW()-ROW($B$12),3)=0,INDEX(BIODATA!C:C,INT((ROW()-ROW($B$12))/3)+24),"")</f>
        <v>0</v>
      </c>
      <c r="D147" s="71">
        <f t="array" ref="D147">IF(MOD(ROW()-ROW($B$12),3)=0,INDEX(BIODATA!D:D,INT((ROW()-ROW($B$12))/3)+24),"")</f>
        <v>0</v>
      </c>
      <c r="E147" s="70">
        <f t="array" ref="E147">IF(MOD(ROW()-ROW($B$12),3)=0,INDEX(BIODATA!H:H,INT((ROW()-ROW($B$12))/3)+24),"")</f>
        <v>0</v>
      </c>
      <c r="F147" s="72" t="s">
        <v>134</v>
      </c>
      <c r="G147" s="73">
        <f t="array" ref="G147">IF(MOD(ROW()-ROW($G$12),3)=0,INDEX(RR!L:L,INT((ROW()-ROW($G$12))/3)+9),"")</f>
        <v>0</v>
      </c>
      <c r="H147" s="73">
        <f t="array" ref="H147">IF(MOD(ROW()-ROW($H$12),3)=0,INDEX(RR!R:R,INT((ROW()-ROW($H$12))/3)+9),"")</f>
        <v>0</v>
      </c>
      <c r="I147" s="73">
        <f t="array" ref="I147">IF(MOD(ROW()-ROW($I$12),3)=0,INDEX(RR!X:X,INT((ROW()-ROW($I$12))/3)+9),"")</f>
        <v>0</v>
      </c>
      <c r="J147" s="73">
        <f t="array" ref="J147">IF(MOD(ROW()-ROW($I$12),3)=0,INDEX(RR!AC:AC,INT((ROW()-ROW($I$12))/3)+9),"")</f>
        <v>0</v>
      </c>
      <c r="K147" s="73">
        <f t="array" ref="K147">IF(MOD(ROW()-ROW($I$12),3)=0,INDEX(RR!AH:AH,INT((ROW()-ROW($I$12))/3)+9),"")</f>
        <v>0</v>
      </c>
      <c r="L147" s="73">
        <f t="array" ref="L147">IF(MOD(ROW()-ROW($I$12),3)=0,INDEX(RR!AK:AK,INT((ROW()-ROW($I$12))/3)+9),"")</f>
        <v>0</v>
      </c>
      <c r="M147" s="73">
        <f t="array" ref="M147">IF(MOD(ROW()-ROW($I$12),3)=0,INDEX(RR!AQ:AQ,INT((ROW()-ROW($I$12))/3)+9),"")</f>
        <v>0</v>
      </c>
      <c r="N147" s="73">
        <f t="array" ref="N147">IF(MOD(ROW()-ROW($I$12),3)=0,INDEX(RR!AW:AW,INT((ROW()-ROW($I$12))/3)+9),"")</f>
        <v>0</v>
      </c>
      <c r="O147" s="73">
        <f t="array" ref="O147">IF(MOD(ROW()-ROW($I$12),3)=0,INDEX(RR!BB:BB,INT((ROW()-ROW($I$12))/3)+9),"")</f>
        <v>0</v>
      </c>
      <c r="P147" s="73">
        <f t="array" ref="P147">IF(MOD(ROW()-ROW($I$12),3)=0,INDEX(RR!BF:BF,INT((ROW()-ROW($I$12))/3)+9),"")</f>
        <v>0</v>
      </c>
      <c r="Q147" s="73">
        <f t="array" ref="Q147">IF(MOD(ROW()-ROW($I$12),3)=0,INDEX(RR!BI:BI,INT((ROW()-ROW($I$12))/3)+9),"")</f>
        <v>0</v>
      </c>
      <c r="R147" s="73">
        <f t="array" ref="R147">IF(MOD(ROW()-ROW($I$12),3)=0,INDEX(RR!BL:BL,INT((ROW()-ROW($I$12))/3)+9),"")</f>
        <v>0</v>
      </c>
      <c r="S147" s="73">
        <f t="array" ref="S147">IF(MOD(ROW()-ROW($I$12),3)=0,INDEX(RR!BP:BP,INT((ROW()-ROW($I$12))/3)+9),"")</f>
        <v>0</v>
      </c>
      <c r="T147" s="73">
        <f t="array" ref="T147">IF(MOD(ROW()-ROW($I$12),3)=0,INDEX(RR!BT:BT,INT((ROW()-ROW($I$12))/3)+9),"")</f>
        <v>0</v>
      </c>
      <c r="U147" s="73">
        <f t="array" ref="U147">IF(MOD(ROW()-ROW($I$12),3)=0,INDEX(RR!BV:BV,INT((ROW()-ROW($I$12))/3)+9),"")</f>
        <v>0</v>
      </c>
      <c r="V147" s="73">
        <f t="array" ref="V147">IF(MOD(ROW()-ROW($I$12),3)=0,INDEX(RR!BZ:BZ,INT((ROW()-ROW($I$12))/3)+9),"")</f>
        <v>0</v>
      </c>
      <c r="W147" s="73">
        <f t="shared" ref="W147:W148" si="136">IF(MOD(ROW()-ROW($W$12),3)&lt;&gt;2,SUM(G147:V147),"")</f>
        <v>0</v>
      </c>
      <c r="X147" s="73">
        <f>IF(MOD(ROW()-ROW($X$12),3)&lt;&gt;2,ROUND(W147/16,2),"")</f>
        <v>0</v>
      </c>
      <c r="Y147" s="70"/>
      <c r="Z147" s="74" t="str">
        <f t="array" ref="Z147">IF(MOD(ROW()-ROW($Z$12),3)=0,IF(INDEX(X:X,ROW()+2)&gt;=$AC$9,"L","TL"),"")</f>
        <v>TL</v>
      </c>
      <c r="AA147" s="56"/>
      <c r="AB147" s="56"/>
      <c r="AC147" s="56"/>
      <c r="AD147" s="56"/>
      <c r="AE147" s="56"/>
    </row>
    <row r="148" spans="1:31" ht="14.5">
      <c r="A148" s="70" t="str">
        <f t="shared" si="135"/>
        <v/>
      </c>
      <c r="B148" s="70" t="str">
        <f t="array" ref="B148">IF(MOD(ROW()-ROW($B$12),3)=0,INDEX(BIODATA!B:B,INT((ROW()-ROW($B$12))/3)+24),"")</f>
        <v/>
      </c>
      <c r="C148" s="70"/>
      <c r="D148" s="71"/>
      <c r="E148" s="70"/>
      <c r="F148" s="72" t="s">
        <v>105</v>
      </c>
      <c r="G148" s="73">
        <f t="array" ref="G148">IF(MOD(ROW()-ROW($G$12),3)=1,INDEX(PSAJ!F:F,INT((ROW()-ROW($G$12))/3)+8),"")</f>
        <v>0</v>
      </c>
      <c r="H148" s="73">
        <f t="array" ref="H148">IF(MOD(ROW()-ROW($G$12),3)=1,INDEX(PSAJ!G:G,INT((ROW()-ROW($G$12))/3)+8),"")</f>
        <v>0</v>
      </c>
      <c r="I148" s="73">
        <f t="array" ref="I148">IF(MOD(ROW()-ROW($G$12),3)=1,INDEX(PSAJ!H:H,INT((ROW()-ROW($G$12))/3)+8),"")</f>
        <v>0</v>
      </c>
      <c r="J148" s="73">
        <f t="array" ref="J148">IF(MOD(ROW()-ROW($G$12),3)=1,INDEX(PSAJ!I:I,INT((ROW()-ROW($G$12))/3)+8),"")</f>
        <v>0</v>
      </c>
      <c r="K148" s="73">
        <f t="array" ref="K148">IF(MOD(ROW()-ROW($G$12),3)=1,INDEX(PSAJ!J:J,INT((ROW()-ROW($G$12))/3)+8),"")</f>
        <v>0</v>
      </c>
      <c r="L148" s="73">
        <f t="array" ref="L148">IF(MOD(ROW()-ROW($G$12),3)=1,INDEX(PSAJ!K:K,INT((ROW()-ROW($G$12))/3)+8),"")</f>
        <v>0</v>
      </c>
      <c r="M148" s="73">
        <f t="array" ref="M148">IF(MOD(ROW()-ROW($G$12),3)=1,INDEX(PSAJ!L:L,INT((ROW()-ROW($G$12))/3)+8),"")</f>
        <v>0</v>
      </c>
      <c r="N148" s="73">
        <f t="array" ref="N148">IF(MOD(ROW()-ROW($G$12),3)=1,INDEX(PSAJ!M:M,INT((ROW()-ROW($G$12))/3)+8),"")</f>
        <v>0</v>
      </c>
      <c r="O148" s="73">
        <f t="array" ref="O148">IF(MOD(ROW()-ROW($G$12),3)=1,INDEX(PSAJ!N:N,INT((ROW()-ROW($G$12))/3)+8),"")</f>
        <v>0</v>
      </c>
      <c r="P148" s="73">
        <f t="array" ref="P148">IF(MOD(ROW()-ROW($G$12),3)=1,INDEX(PSAJ!O:O,INT((ROW()-ROW($G$12))/3)+8),"")</f>
        <v>0</v>
      </c>
      <c r="Q148" s="73">
        <f t="array" ref="Q148">IF(MOD(ROW()-ROW($G$12),3)=1,INDEX(PSAJ!P:P,INT((ROW()-ROW($G$12))/3)+8),"")</f>
        <v>0</v>
      </c>
      <c r="R148" s="73">
        <f t="array" ref="R148">IF(MOD(ROW()-ROW($G$12),3)=1,INDEX(PSAJ!Q:Q,INT((ROW()-ROW($G$12))/3)+8),"")</f>
        <v>0</v>
      </c>
      <c r="S148" s="73">
        <f t="array" ref="S148">IF(MOD(ROW()-ROW($G$12),3)=1,INDEX(PSAJ!R:R,INT((ROW()-ROW($G$12))/3)+8),"")</f>
        <v>0</v>
      </c>
      <c r="T148" s="73">
        <f t="array" ref="T148">IF(MOD(ROW()-ROW($G$12),3)=1,INDEX(PSAJ!S:S,INT((ROW()-ROW($G$12))/3)+8),"")</f>
        <v>0</v>
      </c>
      <c r="U148" s="73">
        <v>0</v>
      </c>
      <c r="V148" s="73">
        <f t="array" ref="V148">IF(MOD(ROW()-ROW($G$12),3)=1,INDEX(PSAJ!T:T,INT((ROW()-ROW($G$12))/3)+8),"")</f>
        <v>0</v>
      </c>
      <c r="W148" s="73">
        <f t="shared" si="136"/>
        <v>0</v>
      </c>
      <c r="X148" s="73">
        <f>IF(MOD(ROW()-ROW($X$12),3)&lt;&gt;2,ROUND(W148/15,2),"")</f>
        <v>0</v>
      </c>
      <c r="Y148" s="70"/>
      <c r="Z148" s="75"/>
      <c r="AA148" s="56"/>
      <c r="AB148" s="56"/>
      <c r="AC148" s="56"/>
      <c r="AD148" s="56"/>
      <c r="AE148" s="56"/>
    </row>
    <row r="149" spans="1:31" ht="14.5">
      <c r="A149" s="70"/>
      <c r="B149" s="70"/>
      <c r="C149" s="70"/>
      <c r="D149" s="71"/>
      <c r="E149" s="70"/>
      <c r="F149" s="76" t="s">
        <v>135</v>
      </c>
      <c r="G149" s="77">
        <f t="shared" ref="G149:T149" si="137">IF(MOD(ROW()-ROW($G$12),3)=2,((INDEX(G:G,ROW()-2)*$AC$4)+(INDEX(G:G,ROW()-1)*$AE$4))/$AD$5,"")</f>
        <v>0</v>
      </c>
      <c r="H149" s="77">
        <f t="shared" si="137"/>
        <v>0</v>
      </c>
      <c r="I149" s="77">
        <f t="shared" si="137"/>
        <v>0</v>
      </c>
      <c r="J149" s="77">
        <f t="shared" si="137"/>
        <v>0</v>
      </c>
      <c r="K149" s="77">
        <f t="shared" si="137"/>
        <v>0</v>
      </c>
      <c r="L149" s="77">
        <f t="shared" si="137"/>
        <v>0</v>
      </c>
      <c r="M149" s="77">
        <f t="shared" si="137"/>
        <v>0</v>
      </c>
      <c r="N149" s="77">
        <f t="shared" si="137"/>
        <v>0</v>
      </c>
      <c r="O149" s="77">
        <f t="shared" si="137"/>
        <v>0</v>
      </c>
      <c r="P149" s="77">
        <f t="shared" si="137"/>
        <v>0</v>
      </c>
      <c r="Q149" s="77">
        <f t="shared" si="137"/>
        <v>0</v>
      </c>
      <c r="R149" s="77">
        <f t="shared" si="137"/>
        <v>0</v>
      </c>
      <c r="S149" s="77">
        <f t="shared" si="137"/>
        <v>0</v>
      </c>
      <c r="T149" s="77">
        <f t="shared" si="137"/>
        <v>0</v>
      </c>
      <c r="U149" s="77">
        <f t="array" ref="U149">IF(MOD(ROW()-ROW($U$12),3)=2,N(INDEX(U:U,ROW()-2)),0)</f>
        <v>0</v>
      </c>
      <c r="V149" s="77">
        <f>IF(MOD(ROW()-ROW($G$12),3)=2,((INDEX(V:V,ROW()-2)*$AC$4)+(INDEX(V:V,ROW()-1)*$AE$4))/$AD$5,"")</f>
        <v>0</v>
      </c>
      <c r="W149" s="77">
        <f>IF(MOD(ROW()-ROW($G$12),3)=2,((INDEX(W:W,ROW()-2)*$AC$4)+(INDEX(W:W,ROW()-1)*$AE$4))/$AD$5,"")</f>
        <v>0</v>
      </c>
      <c r="X149" s="77">
        <f>IF(MOD(ROW()-ROW($G$12),3)=2,((INDEX(X:X,ROW()-2)*$AC$4)+(INDEX(X:X,ROW()-1)*$AE$4))/$AD$5,"")</f>
        <v>0</v>
      </c>
      <c r="Y149" s="78"/>
      <c r="Z149" s="77"/>
      <c r="AA149" s="56"/>
      <c r="AB149" s="56"/>
      <c r="AC149" s="56"/>
      <c r="AD149" s="56"/>
      <c r="AE149" s="56"/>
    </row>
    <row r="150" spans="1:31" ht="14.5">
      <c r="A150" s="70">
        <f t="shared" ref="A150:A151" si="138">IF(MOD(ROW()-12,3)=0,INT((ROW()-12)/3)+1,"")</f>
        <v>47</v>
      </c>
      <c r="B150" s="70">
        <f t="array" ref="B150">IF(MOD(ROW()-ROW($B$12),3)=0,INDEX(BIODATA!B:B,INT((ROW()-ROW($B$12))/3)+24),"")</f>
        <v>0</v>
      </c>
      <c r="C150" s="70">
        <f t="array" ref="C150">IF(MOD(ROW()-ROW($B$12),3)=0,INDEX(BIODATA!C:C,INT((ROW()-ROW($B$12))/3)+24),"")</f>
        <v>0</v>
      </c>
      <c r="D150" s="71">
        <f t="array" ref="D150">IF(MOD(ROW()-ROW($B$12),3)=0,INDEX(BIODATA!D:D,INT((ROW()-ROW($B$12))/3)+24),"")</f>
        <v>0</v>
      </c>
      <c r="E150" s="70">
        <f t="array" ref="E150">IF(MOD(ROW()-ROW($B$12),3)=0,INDEX(BIODATA!H:H,INT((ROW()-ROW($B$12))/3)+24),"")</f>
        <v>0</v>
      </c>
      <c r="F150" s="72" t="s">
        <v>134</v>
      </c>
      <c r="G150" s="73">
        <f t="array" ref="G150">IF(MOD(ROW()-ROW($G$12),3)=0,INDEX(RR!L:L,INT((ROW()-ROW($G$12))/3)+9),"")</f>
        <v>0</v>
      </c>
      <c r="H150" s="73">
        <f t="array" ref="H150">IF(MOD(ROW()-ROW($H$12),3)=0,INDEX(RR!R:R,INT((ROW()-ROW($H$12))/3)+9),"")</f>
        <v>0</v>
      </c>
      <c r="I150" s="73">
        <f t="array" ref="I150">IF(MOD(ROW()-ROW($I$12),3)=0,INDEX(RR!X:X,INT((ROW()-ROW($I$12))/3)+9),"")</f>
        <v>0</v>
      </c>
      <c r="J150" s="73">
        <f t="array" ref="J150">IF(MOD(ROW()-ROW($I$12),3)=0,INDEX(RR!AC:AC,INT((ROW()-ROW($I$12))/3)+9),"")</f>
        <v>0</v>
      </c>
      <c r="K150" s="73">
        <f t="array" ref="K150">IF(MOD(ROW()-ROW($I$12),3)=0,INDEX(RR!AH:AH,INT((ROW()-ROW($I$12))/3)+9),"")</f>
        <v>0</v>
      </c>
      <c r="L150" s="73">
        <f t="array" ref="L150">IF(MOD(ROW()-ROW($I$12),3)=0,INDEX(RR!AK:AK,INT((ROW()-ROW($I$12))/3)+9),"")</f>
        <v>0</v>
      </c>
      <c r="M150" s="73">
        <f t="array" ref="M150">IF(MOD(ROW()-ROW($I$12),3)=0,INDEX(RR!AQ:AQ,INT((ROW()-ROW($I$12))/3)+9),"")</f>
        <v>0</v>
      </c>
      <c r="N150" s="73">
        <f t="array" ref="N150">IF(MOD(ROW()-ROW($I$12),3)=0,INDEX(RR!AW:AW,INT((ROW()-ROW($I$12))/3)+9),"")</f>
        <v>0</v>
      </c>
      <c r="O150" s="73">
        <f t="array" ref="O150">IF(MOD(ROW()-ROW($I$12),3)=0,INDEX(RR!BB:BB,INT((ROW()-ROW($I$12))/3)+9),"")</f>
        <v>0</v>
      </c>
      <c r="P150" s="73">
        <f t="array" ref="P150">IF(MOD(ROW()-ROW($I$12),3)=0,INDEX(RR!BF:BF,INT((ROW()-ROW($I$12))/3)+9),"")</f>
        <v>0</v>
      </c>
      <c r="Q150" s="73">
        <f t="array" ref="Q150">IF(MOD(ROW()-ROW($I$12),3)=0,INDEX(RR!BI:BI,INT((ROW()-ROW($I$12))/3)+9),"")</f>
        <v>0</v>
      </c>
      <c r="R150" s="73">
        <f t="array" ref="R150">IF(MOD(ROW()-ROW($I$12),3)=0,INDEX(RR!BL:BL,INT((ROW()-ROW($I$12))/3)+9),"")</f>
        <v>0</v>
      </c>
      <c r="S150" s="73">
        <f t="array" ref="S150">IF(MOD(ROW()-ROW($I$12),3)=0,INDEX(RR!BP:BP,INT((ROW()-ROW($I$12))/3)+9),"")</f>
        <v>0</v>
      </c>
      <c r="T150" s="73">
        <f t="array" ref="T150">IF(MOD(ROW()-ROW($I$12),3)=0,INDEX(RR!BT:BT,INT((ROW()-ROW($I$12))/3)+9),"")</f>
        <v>0</v>
      </c>
      <c r="U150" s="73">
        <f t="array" ref="U150">IF(MOD(ROW()-ROW($I$12),3)=0,INDEX(RR!BV:BV,INT((ROW()-ROW($I$12))/3)+9),"")</f>
        <v>0</v>
      </c>
      <c r="V150" s="73">
        <f t="array" ref="V150">IF(MOD(ROW()-ROW($I$12),3)=0,INDEX(RR!BZ:BZ,INT((ROW()-ROW($I$12))/3)+9),"")</f>
        <v>0</v>
      </c>
      <c r="W150" s="73">
        <f t="shared" ref="W150:W151" si="139">IF(MOD(ROW()-ROW($W$12),3)&lt;&gt;2,SUM(G150:V150),"")</f>
        <v>0</v>
      </c>
      <c r="X150" s="73">
        <f>IF(MOD(ROW()-ROW($X$12),3)&lt;&gt;2,ROUND(W150/16,2),"")</f>
        <v>0</v>
      </c>
      <c r="Y150" s="70"/>
      <c r="Z150" s="74" t="str">
        <f t="array" ref="Z150">IF(MOD(ROW()-ROW($Z$12),3)=0,IF(INDEX(X:X,ROW()+2)&gt;=$AC$9,"L","TL"),"")</f>
        <v>TL</v>
      </c>
      <c r="AA150" s="56"/>
      <c r="AB150" s="56"/>
      <c r="AC150" s="56"/>
      <c r="AD150" s="56"/>
      <c r="AE150" s="56"/>
    </row>
    <row r="151" spans="1:31" ht="14.5">
      <c r="A151" s="70" t="str">
        <f t="shared" si="138"/>
        <v/>
      </c>
      <c r="B151" s="70" t="str">
        <f t="array" ref="B151">IF(MOD(ROW()-ROW($B$12),3)=0,INDEX(BIODATA!B:B,INT((ROW()-ROW($B$12))/3)+24),"")</f>
        <v/>
      </c>
      <c r="C151" s="70"/>
      <c r="D151" s="71"/>
      <c r="E151" s="70"/>
      <c r="F151" s="72" t="s">
        <v>105</v>
      </c>
      <c r="G151" s="73">
        <f t="array" ref="G151">IF(MOD(ROW()-ROW($G$12),3)=1,INDEX(PSAJ!F:F,INT((ROW()-ROW($G$12))/3)+8),"")</f>
        <v>0</v>
      </c>
      <c r="H151" s="73">
        <f t="array" ref="H151">IF(MOD(ROW()-ROW($G$12),3)=1,INDEX(PSAJ!G:G,INT((ROW()-ROW($G$12))/3)+8),"")</f>
        <v>0</v>
      </c>
      <c r="I151" s="73">
        <f t="array" ref="I151">IF(MOD(ROW()-ROW($G$12),3)=1,INDEX(PSAJ!H:H,INT((ROW()-ROW($G$12))/3)+8),"")</f>
        <v>0</v>
      </c>
      <c r="J151" s="73">
        <f t="array" ref="J151">IF(MOD(ROW()-ROW($G$12),3)=1,INDEX(PSAJ!I:I,INT((ROW()-ROW($G$12))/3)+8),"")</f>
        <v>0</v>
      </c>
      <c r="K151" s="73">
        <f t="array" ref="K151">IF(MOD(ROW()-ROW($G$12),3)=1,INDEX(PSAJ!J:J,INT((ROW()-ROW($G$12))/3)+8),"")</f>
        <v>0</v>
      </c>
      <c r="L151" s="73">
        <f t="array" ref="L151">IF(MOD(ROW()-ROW($G$12),3)=1,INDEX(PSAJ!K:K,INT((ROW()-ROW($G$12))/3)+8),"")</f>
        <v>0</v>
      </c>
      <c r="M151" s="73">
        <f t="array" ref="M151">IF(MOD(ROW()-ROW($G$12),3)=1,INDEX(PSAJ!L:L,INT((ROW()-ROW($G$12))/3)+8),"")</f>
        <v>0</v>
      </c>
      <c r="N151" s="73">
        <f t="array" ref="N151">IF(MOD(ROW()-ROW($G$12),3)=1,INDEX(PSAJ!M:M,INT((ROW()-ROW($G$12))/3)+8),"")</f>
        <v>0</v>
      </c>
      <c r="O151" s="73">
        <f t="array" ref="O151">IF(MOD(ROW()-ROW($G$12),3)=1,INDEX(PSAJ!N:N,INT((ROW()-ROW($G$12))/3)+8),"")</f>
        <v>0</v>
      </c>
      <c r="P151" s="73">
        <f t="array" ref="P151">IF(MOD(ROW()-ROW($G$12),3)=1,INDEX(PSAJ!O:O,INT((ROW()-ROW($G$12))/3)+8),"")</f>
        <v>0</v>
      </c>
      <c r="Q151" s="73">
        <f t="array" ref="Q151">IF(MOD(ROW()-ROW($G$12),3)=1,INDEX(PSAJ!P:P,INT((ROW()-ROW($G$12))/3)+8),"")</f>
        <v>0</v>
      </c>
      <c r="R151" s="73">
        <f t="array" ref="R151">IF(MOD(ROW()-ROW($G$12),3)=1,INDEX(PSAJ!Q:Q,INT((ROW()-ROW($G$12))/3)+8),"")</f>
        <v>0</v>
      </c>
      <c r="S151" s="73">
        <f t="array" ref="S151">IF(MOD(ROW()-ROW($G$12),3)=1,INDEX(PSAJ!R:R,INT((ROW()-ROW($G$12))/3)+8),"")</f>
        <v>0</v>
      </c>
      <c r="T151" s="73">
        <f t="array" ref="T151">IF(MOD(ROW()-ROW($G$12),3)=1,INDEX(PSAJ!S:S,INT((ROW()-ROW($G$12))/3)+8),"")</f>
        <v>0</v>
      </c>
      <c r="U151" s="73">
        <v>0</v>
      </c>
      <c r="V151" s="73">
        <f t="array" ref="V151">IF(MOD(ROW()-ROW($G$12),3)=1,INDEX(PSAJ!T:T,INT((ROW()-ROW($G$12))/3)+8),"")</f>
        <v>0</v>
      </c>
      <c r="W151" s="73">
        <f t="shared" si="139"/>
        <v>0</v>
      </c>
      <c r="X151" s="73">
        <f>IF(MOD(ROW()-ROW($X$12),3)&lt;&gt;2,ROUND(W151/15,2),"")</f>
        <v>0</v>
      </c>
      <c r="Y151" s="70"/>
      <c r="Z151" s="75"/>
      <c r="AA151" s="56"/>
      <c r="AB151" s="56"/>
      <c r="AC151" s="56"/>
      <c r="AD151" s="56"/>
      <c r="AE151" s="56"/>
    </row>
    <row r="152" spans="1:31" ht="14.5">
      <c r="A152" s="70"/>
      <c r="B152" s="70"/>
      <c r="C152" s="70"/>
      <c r="D152" s="71"/>
      <c r="E152" s="70"/>
      <c r="F152" s="76" t="s">
        <v>135</v>
      </c>
      <c r="G152" s="77">
        <f t="shared" ref="G152:T152" si="140">IF(MOD(ROW()-ROW($G$12),3)=2,((INDEX(G:G,ROW()-2)*$AC$4)+(INDEX(G:G,ROW()-1)*$AE$4))/$AD$5,"")</f>
        <v>0</v>
      </c>
      <c r="H152" s="77">
        <f t="shared" si="140"/>
        <v>0</v>
      </c>
      <c r="I152" s="77">
        <f t="shared" si="140"/>
        <v>0</v>
      </c>
      <c r="J152" s="77">
        <f t="shared" si="140"/>
        <v>0</v>
      </c>
      <c r="K152" s="77">
        <f t="shared" si="140"/>
        <v>0</v>
      </c>
      <c r="L152" s="77">
        <f t="shared" si="140"/>
        <v>0</v>
      </c>
      <c r="M152" s="77">
        <f t="shared" si="140"/>
        <v>0</v>
      </c>
      <c r="N152" s="77">
        <f t="shared" si="140"/>
        <v>0</v>
      </c>
      <c r="O152" s="77">
        <f t="shared" si="140"/>
        <v>0</v>
      </c>
      <c r="P152" s="77">
        <f t="shared" si="140"/>
        <v>0</v>
      </c>
      <c r="Q152" s="77">
        <f t="shared" si="140"/>
        <v>0</v>
      </c>
      <c r="R152" s="77">
        <f t="shared" si="140"/>
        <v>0</v>
      </c>
      <c r="S152" s="77">
        <f t="shared" si="140"/>
        <v>0</v>
      </c>
      <c r="T152" s="77">
        <f t="shared" si="140"/>
        <v>0</v>
      </c>
      <c r="U152" s="77">
        <f t="array" ref="U152">IF(MOD(ROW()-ROW($U$12),3)=2,N(INDEX(U:U,ROW()-2)),0)</f>
        <v>0</v>
      </c>
      <c r="V152" s="77">
        <f>IF(MOD(ROW()-ROW($G$12),3)=2,((INDEX(V:V,ROW()-2)*$AC$4)+(INDEX(V:V,ROW()-1)*$AE$4))/$AD$5,"")</f>
        <v>0</v>
      </c>
      <c r="W152" s="77">
        <f>IF(MOD(ROW()-ROW($G$12),3)=2,((INDEX(W:W,ROW()-2)*$AC$4)+(INDEX(W:W,ROW()-1)*$AE$4))/$AD$5,"")</f>
        <v>0</v>
      </c>
      <c r="X152" s="77">
        <f>IF(MOD(ROW()-ROW($G$12),3)=2,((INDEX(X:X,ROW()-2)*$AC$4)+(INDEX(X:X,ROW()-1)*$AE$4))/$AD$5,"")</f>
        <v>0</v>
      </c>
      <c r="Y152" s="78"/>
      <c r="Z152" s="77"/>
      <c r="AA152" s="56"/>
      <c r="AB152" s="56"/>
      <c r="AC152" s="56"/>
      <c r="AD152" s="56"/>
      <c r="AE152" s="56"/>
    </row>
    <row r="153" spans="1:31" ht="14.5">
      <c r="A153" s="70">
        <f t="shared" ref="A153:A154" si="141">IF(MOD(ROW()-12,3)=0,INT((ROW()-12)/3)+1,"")</f>
        <v>48</v>
      </c>
      <c r="B153" s="70">
        <f t="array" ref="B153">IF(MOD(ROW()-ROW($B$12),3)=0,INDEX(BIODATA!B:B,INT((ROW()-ROW($B$12))/3)+24),"")</f>
        <v>0</v>
      </c>
      <c r="C153" s="70" t="str">
        <f t="array" ref="C153">IF(MOD(ROW()-ROW($B$12),3)=0,INDEX(BIODATA!C:C,INT((ROW()-ROW($B$12))/3)+24),"")</f>
        <v>Mengetahui</v>
      </c>
      <c r="D153" s="71">
        <f t="array" ref="D153">IF(MOD(ROW()-ROW($B$12),3)=0,INDEX(BIODATA!D:D,INT((ROW()-ROW($B$12))/3)+24),"")</f>
        <v>0</v>
      </c>
      <c r="E153" s="70">
        <f t="array" ref="E153">IF(MOD(ROW()-ROW($B$12),3)=0,INDEX(BIODATA!H:H,INT((ROW()-ROW($B$12))/3)+24),"")</f>
        <v>0</v>
      </c>
      <c r="F153" s="72" t="s">
        <v>134</v>
      </c>
      <c r="G153" s="73">
        <f t="array" ref="G153">IF(MOD(ROW()-ROW($G$12),3)=0,INDEX(RR!L:L,INT((ROW()-ROW($G$12))/3)+9),"")</f>
        <v>0</v>
      </c>
      <c r="H153" s="73">
        <f t="array" ref="H153">IF(MOD(ROW()-ROW($H$12),3)=0,INDEX(RR!R:R,INT((ROW()-ROW($H$12))/3)+9),"")</f>
        <v>0</v>
      </c>
      <c r="I153" s="73">
        <f t="array" ref="I153">IF(MOD(ROW()-ROW($I$12),3)=0,INDEX(RR!X:X,INT((ROW()-ROW($I$12))/3)+9),"")</f>
        <v>0</v>
      </c>
      <c r="J153" s="73">
        <f t="array" ref="J153">IF(MOD(ROW()-ROW($I$12),3)=0,INDEX(RR!AC:AC,INT((ROW()-ROW($I$12))/3)+9),"")</f>
        <v>0</v>
      </c>
      <c r="K153" s="73">
        <f t="array" ref="K153">IF(MOD(ROW()-ROW($I$12),3)=0,INDEX(RR!AH:AH,INT((ROW()-ROW($I$12))/3)+9),"")</f>
        <v>0</v>
      </c>
      <c r="L153" s="73">
        <f t="array" ref="L153">IF(MOD(ROW()-ROW($I$12),3)=0,INDEX(RR!AK:AK,INT((ROW()-ROW($I$12))/3)+9),"")</f>
        <v>0</v>
      </c>
      <c r="M153" s="73">
        <f t="array" ref="M153">IF(MOD(ROW()-ROW($I$12),3)=0,INDEX(RR!AQ:AQ,INT((ROW()-ROW($I$12))/3)+9),"")</f>
        <v>0</v>
      </c>
      <c r="N153" s="73">
        <f t="array" ref="N153">IF(MOD(ROW()-ROW($I$12),3)=0,INDEX(RR!AW:AW,INT((ROW()-ROW($I$12))/3)+9),"")</f>
        <v>0</v>
      </c>
      <c r="O153" s="73">
        <f t="array" ref="O153">IF(MOD(ROW()-ROW($I$12),3)=0,INDEX(RR!BB:BB,INT((ROW()-ROW($I$12))/3)+9),"")</f>
        <v>0</v>
      </c>
      <c r="P153" s="73">
        <f t="array" ref="P153">IF(MOD(ROW()-ROW($I$12),3)=0,INDEX(RR!BF:BF,INT((ROW()-ROW($I$12))/3)+9),"")</f>
        <v>0</v>
      </c>
      <c r="Q153" s="73">
        <f t="array" ref="Q153">IF(MOD(ROW()-ROW($I$12),3)=0,INDEX(RR!BI:BI,INT((ROW()-ROW($I$12))/3)+9),"")</f>
        <v>0</v>
      </c>
      <c r="R153" s="73">
        <f t="array" ref="R153">IF(MOD(ROW()-ROW($I$12),3)=0,INDEX(RR!BL:BL,INT((ROW()-ROW($I$12))/3)+9),"")</f>
        <v>0</v>
      </c>
      <c r="S153" s="73">
        <f t="array" ref="S153">IF(MOD(ROW()-ROW($I$12),3)=0,INDEX(RR!BP:BP,INT((ROW()-ROW($I$12))/3)+9),"")</f>
        <v>0</v>
      </c>
      <c r="T153" s="73">
        <f t="array" ref="T153">IF(MOD(ROW()-ROW($I$12),3)=0,INDEX(RR!BT:BT,INT((ROW()-ROW($I$12))/3)+9),"")</f>
        <v>0</v>
      </c>
      <c r="U153" s="73">
        <f t="array" ref="U153">IF(MOD(ROW()-ROW($I$12),3)=0,INDEX(RR!BV:BV,INT((ROW()-ROW($I$12))/3)+9),"")</f>
        <v>0</v>
      </c>
      <c r="V153" s="73">
        <f t="array" ref="V153">IF(MOD(ROW()-ROW($I$12),3)=0,INDEX(RR!BZ:BZ,INT((ROW()-ROW($I$12))/3)+9),"")</f>
        <v>0</v>
      </c>
      <c r="W153" s="73">
        <f t="shared" ref="W153:W154" si="142">IF(MOD(ROW()-ROW($W$12),3)&lt;&gt;2,SUM(G153:V153),"")</f>
        <v>0</v>
      </c>
      <c r="X153" s="73">
        <f>IF(MOD(ROW()-ROW($X$12),3)&lt;&gt;2,ROUND(W153/16,2),"")</f>
        <v>0</v>
      </c>
      <c r="Y153" s="70"/>
      <c r="Z153" s="74" t="str">
        <f t="array" ref="Z153">IF(MOD(ROW()-ROW($Z$12),3)=0,IF(INDEX(X:X,ROW()+2)&gt;=$AC$9,"L","TL"),"")</f>
        <v>TL</v>
      </c>
      <c r="AA153" s="56"/>
      <c r="AB153" s="56"/>
      <c r="AC153" s="56"/>
      <c r="AD153" s="56"/>
      <c r="AE153" s="56"/>
    </row>
    <row r="154" spans="1:31" ht="14.5">
      <c r="A154" s="70" t="str">
        <f t="shared" si="141"/>
        <v/>
      </c>
      <c r="B154" s="70" t="str">
        <f t="array" ref="B154">IF(MOD(ROW()-ROW($B$12),3)=0,INDEX(BIODATA!B:B,INT((ROW()-ROW($B$12))/3)+24),"")</f>
        <v/>
      </c>
      <c r="C154" s="70"/>
      <c r="D154" s="71"/>
      <c r="E154" s="70"/>
      <c r="F154" s="72" t="s">
        <v>105</v>
      </c>
      <c r="G154" s="73">
        <f t="array" ref="G154">IF(MOD(ROW()-ROW($G$12),3)=1,INDEX(PSAJ!F:F,INT((ROW()-ROW($G$12))/3)+8),"")</f>
        <v>0</v>
      </c>
      <c r="H154" s="73">
        <f t="array" ref="H154">IF(MOD(ROW()-ROW($G$12),3)=1,INDEX(PSAJ!G:G,INT((ROW()-ROW($G$12))/3)+8),"")</f>
        <v>0</v>
      </c>
      <c r="I154" s="73">
        <f t="array" ref="I154">IF(MOD(ROW()-ROW($G$12),3)=1,INDEX(PSAJ!H:H,INT((ROW()-ROW($G$12))/3)+8),"")</f>
        <v>0</v>
      </c>
      <c r="J154" s="73">
        <f t="array" ref="J154">IF(MOD(ROW()-ROW($G$12),3)=1,INDEX(PSAJ!I:I,INT((ROW()-ROW($G$12))/3)+8),"")</f>
        <v>0</v>
      </c>
      <c r="K154" s="73">
        <f t="array" ref="K154">IF(MOD(ROW()-ROW($G$12),3)=1,INDEX(PSAJ!J:J,INT((ROW()-ROW($G$12))/3)+8),"")</f>
        <v>0</v>
      </c>
      <c r="L154" s="73">
        <f t="array" ref="L154">IF(MOD(ROW()-ROW($G$12),3)=1,INDEX(PSAJ!K:K,INT((ROW()-ROW($G$12))/3)+8),"")</f>
        <v>0</v>
      </c>
      <c r="M154" s="73">
        <f t="array" ref="M154">IF(MOD(ROW()-ROW($G$12),3)=1,INDEX(PSAJ!L:L,INT((ROW()-ROW($G$12))/3)+8),"")</f>
        <v>0</v>
      </c>
      <c r="N154" s="73">
        <f t="array" ref="N154">IF(MOD(ROW()-ROW($G$12),3)=1,INDEX(PSAJ!M:M,INT((ROW()-ROW($G$12))/3)+8),"")</f>
        <v>0</v>
      </c>
      <c r="O154" s="73">
        <f t="array" ref="O154">IF(MOD(ROW()-ROW($G$12),3)=1,INDEX(PSAJ!N:N,INT((ROW()-ROW($G$12))/3)+8),"")</f>
        <v>0</v>
      </c>
      <c r="P154" s="73">
        <f t="array" ref="P154">IF(MOD(ROW()-ROW($G$12),3)=1,INDEX(PSAJ!O:O,INT((ROW()-ROW($G$12))/3)+8),"")</f>
        <v>0</v>
      </c>
      <c r="Q154" s="73">
        <f t="array" ref="Q154">IF(MOD(ROW()-ROW($G$12),3)=1,INDEX(PSAJ!P:P,INT((ROW()-ROW($G$12))/3)+8),"")</f>
        <v>0</v>
      </c>
      <c r="R154" s="73">
        <f t="array" ref="R154">IF(MOD(ROW()-ROW($G$12),3)=1,INDEX(PSAJ!Q:Q,INT((ROW()-ROW($G$12))/3)+8),"")</f>
        <v>0</v>
      </c>
      <c r="S154" s="73">
        <f t="array" ref="S154">IF(MOD(ROW()-ROW($G$12),3)=1,INDEX(PSAJ!R:R,INT((ROW()-ROW($G$12))/3)+8),"")</f>
        <v>0</v>
      </c>
      <c r="T154" s="73">
        <f t="array" ref="T154">IF(MOD(ROW()-ROW($G$12),3)=1,INDEX(PSAJ!S:S,INT((ROW()-ROW($G$12))/3)+8),"")</f>
        <v>0</v>
      </c>
      <c r="U154" s="73">
        <v>0</v>
      </c>
      <c r="V154" s="73">
        <f t="array" ref="V154">IF(MOD(ROW()-ROW($G$12),3)=1,INDEX(PSAJ!T:T,INT((ROW()-ROW($G$12))/3)+8),"")</f>
        <v>0</v>
      </c>
      <c r="W154" s="73">
        <f t="shared" si="142"/>
        <v>0</v>
      </c>
      <c r="X154" s="73">
        <f>IF(MOD(ROW()-ROW($X$12),3)&lt;&gt;2,ROUND(W154/15,2),"")</f>
        <v>0</v>
      </c>
      <c r="Y154" s="70"/>
      <c r="Z154" s="75"/>
      <c r="AA154" s="56"/>
      <c r="AB154" s="56"/>
      <c r="AC154" s="56"/>
      <c r="AD154" s="56"/>
      <c r="AE154" s="56"/>
    </row>
    <row r="155" spans="1:31" ht="14.5">
      <c r="A155" s="70"/>
      <c r="B155" s="70"/>
      <c r="C155" s="70"/>
      <c r="D155" s="71"/>
      <c r="E155" s="70"/>
      <c r="F155" s="76" t="s">
        <v>135</v>
      </c>
      <c r="G155" s="77">
        <f t="shared" ref="G155:T155" si="143">IF(MOD(ROW()-ROW($G$12),3)=2,((INDEX(G:G,ROW()-2)*$AC$4)+(INDEX(G:G,ROW()-1)*$AE$4))/$AD$5,"")</f>
        <v>0</v>
      </c>
      <c r="H155" s="77">
        <f t="shared" si="143"/>
        <v>0</v>
      </c>
      <c r="I155" s="77">
        <f t="shared" si="143"/>
        <v>0</v>
      </c>
      <c r="J155" s="77">
        <f t="shared" si="143"/>
        <v>0</v>
      </c>
      <c r="K155" s="77">
        <f t="shared" si="143"/>
        <v>0</v>
      </c>
      <c r="L155" s="77">
        <f t="shared" si="143"/>
        <v>0</v>
      </c>
      <c r="M155" s="77">
        <f t="shared" si="143"/>
        <v>0</v>
      </c>
      <c r="N155" s="77">
        <f t="shared" si="143"/>
        <v>0</v>
      </c>
      <c r="O155" s="77">
        <f t="shared" si="143"/>
        <v>0</v>
      </c>
      <c r="P155" s="77">
        <f t="shared" si="143"/>
        <v>0</v>
      </c>
      <c r="Q155" s="77">
        <f t="shared" si="143"/>
        <v>0</v>
      </c>
      <c r="R155" s="77">
        <f t="shared" si="143"/>
        <v>0</v>
      </c>
      <c r="S155" s="77">
        <f t="shared" si="143"/>
        <v>0</v>
      </c>
      <c r="T155" s="77">
        <f t="shared" si="143"/>
        <v>0</v>
      </c>
      <c r="U155" s="77">
        <f t="array" ref="U155">IF(MOD(ROW()-ROW($U$12),3)=2,N(INDEX(U:U,ROW()-2)),0)</f>
        <v>0</v>
      </c>
      <c r="V155" s="77">
        <f>IF(MOD(ROW()-ROW($G$12),3)=2,((INDEX(V:V,ROW()-2)*$AC$4)+(INDEX(V:V,ROW()-1)*$AE$4))/$AD$5,"")</f>
        <v>0</v>
      </c>
      <c r="W155" s="77">
        <f>IF(MOD(ROW()-ROW($G$12),3)=2,((INDEX(W:W,ROW()-2)*$AC$4)+(INDEX(W:W,ROW()-1)*$AE$4))/$AD$5,"")</f>
        <v>0</v>
      </c>
      <c r="X155" s="77">
        <f>IF(MOD(ROW()-ROW($G$12),3)=2,((INDEX(X:X,ROW()-2)*$AC$4)+(INDEX(X:X,ROW()-1)*$AE$4))/$AD$5,"")</f>
        <v>0</v>
      </c>
      <c r="Y155" s="78"/>
      <c r="Z155" s="77"/>
      <c r="AA155" s="56"/>
      <c r="AB155" s="56"/>
      <c r="AC155" s="56"/>
      <c r="AD155" s="56"/>
      <c r="AE155" s="56"/>
    </row>
    <row r="156" spans="1:31" ht="14.5">
      <c r="A156" s="70">
        <f t="shared" ref="A156:A157" si="144">IF(MOD(ROW()-12,3)=0,INT((ROW()-12)/3)+1,"")</f>
        <v>49</v>
      </c>
      <c r="B156" s="70">
        <f t="array" ref="B156">IF(MOD(ROW()-ROW($B$12),3)=0,INDEX(BIODATA!B:B,INT((ROW()-ROW($B$12))/3)+24),"")</f>
        <v>0</v>
      </c>
      <c r="C156" s="70" t="str">
        <f t="array" ref="C156">IF(MOD(ROW()-ROW($B$12),3)=0,INDEX(BIODATA!C:C,INT((ROW()-ROW($B$12))/3)+24),"")</f>
        <v>Kepala Cabang Dinas Pendidikan</v>
      </c>
      <c r="D156" s="71">
        <f t="array" ref="D156">IF(MOD(ROW()-ROW($B$12),3)=0,INDEX(BIODATA!D:D,INT((ROW()-ROW($B$12))/3)+24),"")</f>
        <v>0</v>
      </c>
      <c r="E156" s="70" t="str">
        <f t="array" ref="E156">IF(MOD(ROW()-ROW($B$12),3)=0,INDEX(BIODATA!H:H,INT((ROW()-ROW($B$12))/3)+24),"")</f>
        <v>Mengetaui</v>
      </c>
      <c r="F156" s="72" t="s">
        <v>134</v>
      </c>
      <c r="G156" s="73">
        <f t="array" ref="G156">IF(MOD(ROW()-ROW($G$12),3)=0,INDEX(RR!L:L,INT((ROW()-ROW($G$12))/3)+9),"")</f>
        <v>0</v>
      </c>
      <c r="H156" s="73">
        <f t="array" ref="H156">IF(MOD(ROW()-ROW($H$12),3)=0,INDEX(RR!R:R,INT((ROW()-ROW($H$12))/3)+9),"")</f>
        <v>0</v>
      </c>
      <c r="I156" s="73">
        <f t="array" ref="I156">IF(MOD(ROW()-ROW($I$12),3)=0,INDEX(RR!X:X,INT((ROW()-ROW($I$12))/3)+9),"")</f>
        <v>0</v>
      </c>
      <c r="J156" s="73">
        <f t="array" ref="J156">IF(MOD(ROW()-ROW($I$12),3)=0,INDEX(RR!AC:AC,INT((ROW()-ROW($I$12))/3)+9),"")</f>
        <v>0</v>
      </c>
      <c r="K156" s="73">
        <f t="array" ref="K156">IF(MOD(ROW()-ROW($I$12),3)=0,INDEX(RR!AH:AH,INT((ROW()-ROW($I$12))/3)+9),"")</f>
        <v>0</v>
      </c>
      <c r="L156" s="73">
        <f t="array" ref="L156">IF(MOD(ROW()-ROW($I$12),3)=0,INDEX(RR!AK:AK,INT((ROW()-ROW($I$12))/3)+9),"")</f>
        <v>0</v>
      </c>
      <c r="M156" s="73">
        <f t="array" ref="M156">IF(MOD(ROW()-ROW($I$12),3)=0,INDEX(RR!AQ:AQ,INT((ROW()-ROW($I$12))/3)+9),"")</f>
        <v>0</v>
      </c>
      <c r="N156" s="73">
        <f t="array" ref="N156">IF(MOD(ROW()-ROW($I$12),3)=0,INDEX(RR!AW:AW,INT((ROW()-ROW($I$12))/3)+9),"")</f>
        <v>0</v>
      </c>
      <c r="O156" s="73">
        <f t="array" ref="O156">IF(MOD(ROW()-ROW($I$12),3)=0,INDEX(RR!BB:BB,INT((ROW()-ROW($I$12))/3)+9),"")</f>
        <v>0</v>
      </c>
      <c r="P156" s="73">
        <f t="array" ref="P156">IF(MOD(ROW()-ROW($I$12),3)=0,INDEX(RR!BF:BF,INT((ROW()-ROW($I$12))/3)+9),"")</f>
        <v>0</v>
      </c>
      <c r="Q156" s="73">
        <f t="array" ref="Q156">IF(MOD(ROW()-ROW($I$12),3)=0,INDEX(RR!BI:BI,INT((ROW()-ROW($I$12))/3)+9),"")</f>
        <v>0</v>
      </c>
      <c r="R156" s="73">
        <f t="array" ref="R156">IF(MOD(ROW()-ROW($I$12),3)=0,INDEX(RR!BL:BL,INT((ROW()-ROW($I$12))/3)+9),"")</f>
        <v>0</v>
      </c>
      <c r="S156" s="73">
        <f t="array" ref="S156">IF(MOD(ROW()-ROW($I$12),3)=0,INDEX(RR!BP:BP,INT((ROW()-ROW($I$12))/3)+9),"")</f>
        <v>0</v>
      </c>
      <c r="T156" s="73">
        <f t="array" ref="T156">IF(MOD(ROW()-ROW($I$12),3)=0,INDEX(RR!BT:BT,INT((ROW()-ROW($I$12))/3)+9),"")</f>
        <v>0</v>
      </c>
      <c r="U156" s="73">
        <f t="array" ref="U156">IF(MOD(ROW()-ROW($I$12),3)=0,INDEX(RR!BV:BV,INT((ROW()-ROW($I$12))/3)+9),"")</f>
        <v>0</v>
      </c>
      <c r="V156" s="73">
        <f t="array" ref="V156">IF(MOD(ROW()-ROW($I$12),3)=0,INDEX(RR!BZ:BZ,INT((ROW()-ROW($I$12))/3)+9),"")</f>
        <v>0</v>
      </c>
      <c r="W156" s="73">
        <f t="shared" ref="W156:W157" si="145">IF(MOD(ROW()-ROW($W$12),3)&lt;&gt;2,SUM(G156:V156),"")</f>
        <v>0</v>
      </c>
      <c r="X156" s="73">
        <f>IF(MOD(ROW()-ROW($X$12),3)&lt;&gt;2,ROUND(W156/16,2),"")</f>
        <v>0</v>
      </c>
      <c r="Y156" s="70"/>
      <c r="Z156" s="74" t="str">
        <f t="array" ref="Z156">IF(MOD(ROW()-ROW($Z$12),3)=0,IF(INDEX(X:X,ROW()+2)&gt;=$AC$9,"L","TL"),"")</f>
        <v>TL</v>
      </c>
      <c r="AA156" s="56"/>
      <c r="AB156" s="56"/>
      <c r="AC156" s="56"/>
      <c r="AD156" s="56"/>
      <c r="AE156" s="56"/>
    </row>
    <row r="157" spans="1:31" ht="14.5">
      <c r="A157" s="70" t="str">
        <f t="shared" si="144"/>
        <v/>
      </c>
      <c r="B157" s="70" t="str">
        <f t="array" ref="B157">IF(MOD(ROW()-ROW($B$12),3)=0,INDEX(BIODATA!B:B,INT((ROW()-ROW($B$12))/3)+24),"")</f>
        <v/>
      </c>
      <c r="C157" s="70"/>
      <c r="D157" s="71"/>
      <c r="E157" s="70"/>
      <c r="F157" s="72" t="s">
        <v>105</v>
      </c>
      <c r="G157" s="73">
        <f t="array" ref="G157">IF(MOD(ROW()-ROW($G$12),3)=1,INDEX(PSAJ!F:F,INT((ROW()-ROW($G$12))/3)+8),"")</f>
        <v>0</v>
      </c>
      <c r="H157" s="73">
        <f t="array" ref="H157">IF(MOD(ROW()-ROW($G$12),3)=1,INDEX(PSAJ!G:G,INT((ROW()-ROW($G$12))/3)+8),"")</f>
        <v>0</v>
      </c>
      <c r="I157" s="73">
        <f t="array" ref="I157">IF(MOD(ROW()-ROW($G$12),3)=1,INDEX(PSAJ!H:H,INT((ROW()-ROW($G$12))/3)+8),"")</f>
        <v>0</v>
      </c>
      <c r="J157" s="73">
        <f t="array" ref="J157">IF(MOD(ROW()-ROW($G$12),3)=1,INDEX(PSAJ!I:I,INT((ROW()-ROW($G$12))/3)+8),"")</f>
        <v>0</v>
      </c>
      <c r="K157" s="73">
        <f t="array" ref="K157">IF(MOD(ROW()-ROW($G$12),3)=1,INDEX(PSAJ!J:J,INT((ROW()-ROW($G$12))/3)+8),"")</f>
        <v>0</v>
      </c>
      <c r="L157" s="73">
        <f t="array" ref="L157">IF(MOD(ROW()-ROW($G$12),3)=1,INDEX(PSAJ!K:K,INT((ROW()-ROW($G$12))/3)+8),"")</f>
        <v>0</v>
      </c>
      <c r="M157" s="73">
        <f t="array" ref="M157">IF(MOD(ROW()-ROW($G$12),3)=1,INDEX(PSAJ!L:L,INT((ROW()-ROW($G$12))/3)+8),"")</f>
        <v>0</v>
      </c>
      <c r="N157" s="73">
        <f t="array" ref="N157">IF(MOD(ROW()-ROW($G$12),3)=1,INDEX(PSAJ!M:M,INT((ROW()-ROW($G$12))/3)+8),"")</f>
        <v>0</v>
      </c>
      <c r="O157" s="73">
        <f t="array" ref="O157">IF(MOD(ROW()-ROW($G$12),3)=1,INDEX(PSAJ!N:N,INT((ROW()-ROW($G$12))/3)+8),"")</f>
        <v>0</v>
      </c>
      <c r="P157" s="73">
        <f t="array" ref="P157">IF(MOD(ROW()-ROW($G$12),3)=1,INDEX(PSAJ!O:O,INT((ROW()-ROW($G$12))/3)+8),"")</f>
        <v>0</v>
      </c>
      <c r="Q157" s="73">
        <f t="array" ref="Q157">IF(MOD(ROW()-ROW($G$12),3)=1,INDEX(PSAJ!P:P,INT((ROW()-ROW($G$12))/3)+8),"")</f>
        <v>0</v>
      </c>
      <c r="R157" s="73">
        <f t="array" ref="R157">IF(MOD(ROW()-ROW($G$12),3)=1,INDEX(PSAJ!Q:Q,INT((ROW()-ROW($G$12))/3)+8),"")</f>
        <v>0</v>
      </c>
      <c r="S157" s="73">
        <f t="array" ref="S157">IF(MOD(ROW()-ROW($G$12),3)=1,INDEX(PSAJ!R:R,INT((ROW()-ROW($G$12))/3)+8),"")</f>
        <v>0</v>
      </c>
      <c r="T157" s="73">
        <f t="array" ref="T157">IF(MOD(ROW()-ROW($G$12),3)=1,INDEX(PSAJ!S:S,INT((ROW()-ROW($G$12))/3)+8),"")</f>
        <v>0</v>
      </c>
      <c r="U157" s="73">
        <v>0</v>
      </c>
      <c r="V157" s="73">
        <f t="array" ref="V157">IF(MOD(ROW()-ROW($G$12),3)=1,INDEX(PSAJ!T:T,INT((ROW()-ROW($G$12))/3)+8),"")</f>
        <v>0</v>
      </c>
      <c r="W157" s="73">
        <f t="shared" si="145"/>
        <v>0</v>
      </c>
      <c r="X157" s="73">
        <f>IF(MOD(ROW()-ROW($X$12),3)&lt;&gt;2,ROUND(W157/15,2),"")</f>
        <v>0</v>
      </c>
      <c r="Y157" s="70"/>
      <c r="Z157" s="75"/>
      <c r="AA157" s="56"/>
      <c r="AB157" s="56"/>
      <c r="AC157" s="56"/>
      <c r="AD157" s="56"/>
      <c r="AE157" s="56"/>
    </row>
    <row r="158" spans="1:31" ht="14.5">
      <c r="A158" s="70"/>
      <c r="B158" s="70"/>
      <c r="C158" s="70"/>
      <c r="D158" s="71"/>
      <c r="E158" s="70"/>
      <c r="F158" s="76" t="s">
        <v>135</v>
      </c>
      <c r="G158" s="77">
        <f t="shared" ref="G158:T158" si="146">IF(MOD(ROW()-ROW($G$12),3)=2,((INDEX(G:G,ROW()-2)*$AC$4)+(INDEX(G:G,ROW()-1)*$AE$4))/$AD$5,"")</f>
        <v>0</v>
      </c>
      <c r="H158" s="77">
        <f t="shared" si="146"/>
        <v>0</v>
      </c>
      <c r="I158" s="77">
        <f t="shared" si="146"/>
        <v>0</v>
      </c>
      <c r="J158" s="77">
        <f t="shared" si="146"/>
        <v>0</v>
      </c>
      <c r="K158" s="77">
        <f t="shared" si="146"/>
        <v>0</v>
      </c>
      <c r="L158" s="77">
        <f t="shared" si="146"/>
        <v>0</v>
      </c>
      <c r="M158" s="77">
        <f t="shared" si="146"/>
        <v>0</v>
      </c>
      <c r="N158" s="77">
        <f t="shared" si="146"/>
        <v>0</v>
      </c>
      <c r="O158" s="77">
        <f t="shared" si="146"/>
        <v>0</v>
      </c>
      <c r="P158" s="77">
        <f t="shared" si="146"/>
        <v>0</v>
      </c>
      <c r="Q158" s="77">
        <f t="shared" si="146"/>
        <v>0</v>
      </c>
      <c r="R158" s="77">
        <f t="shared" si="146"/>
        <v>0</v>
      </c>
      <c r="S158" s="77">
        <f t="shared" si="146"/>
        <v>0</v>
      </c>
      <c r="T158" s="77">
        <f t="shared" si="146"/>
        <v>0</v>
      </c>
      <c r="U158" s="77">
        <f t="array" ref="U158">IF(MOD(ROW()-ROW($U$12),3)=2,N(INDEX(U:U,ROW()-2)),0)</f>
        <v>0</v>
      </c>
      <c r="V158" s="77">
        <f>IF(MOD(ROW()-ROW($G$12),3)=2,((INDEX(V:V,ROW()-2)*$AC$4)+(INDEX(V:V,ROW()-1)*$AE$4))/$AD$5,"")</f>
        <v>0</v>
      </c>
      <c r="W158" s="77">
        <f>IF(MOD(ROW()-ROW($G$12),3)=2,((INDEX(W:W,ROW()-2)*$AC$4)+(INDEX(W:W,ROW()-1)*$AE$4))/$AD$5,"")</f>
        <v>0</v>
      </c>
      <c r="X158" s="77">
        <f>IF(MOD(ROW()-ROW($G$12),3)=2,((INDEX(X:X,ROW()-2)*$AC$4)+(INDEX(X:X,ROW()-1)*$AE$4))/$AD$5,"")</f>
        <v>0</v>
      </c>
      <c r="Y158" s="78"/>
      <c r="Z158" s="77"/>
      <c r="AA158" s="56"/>
      <c r="AB158" s="56"/>
      <c r="AC158" s="56"/>
      <c r="AD158" s="56"/>
      <c r="AE158" s="56"/>
    </row>
    <row r="159" spans="1:31" ht="14.5">
      <c r="A159" s="70">
        <f t="shared" ref="A159:A160" si="147">IF(MOD(ROW()-12,3)=0,INT((ROW()-12)/3)+1,"")</f>
        <v>50</v>
      </c>
      <c r="B159" s="70">
        <f t="array" ref="B159">IF(MOD(ROW()-ROW($B$12),3)=0,INDEX(BIODATA!B:B,INT((ROW()-ROW($B$12))/3)+24),"")</f>
        <v>0</v>
      </c>
      <c r="C159" s="70" t="str">
        <f t="array" ref="C159">IF(MOD(ROW()-ROW($B$12),3)=0,INDEX(BIODATA!C:C,INT((ROW()-ROW($B$12))/3)+24),"")</f>
        <v>Wilayah Kabupaten dan Kota Mojokerto,</v>
      </c>
      <c r="D159" s="71">
        <f t="array" ref="D159">IF(MOD(ROW()-ROW($B$12),3)=0,INDEX(BIODATA!D:D,INT((ROW()-ROW($B$12))/3)+24),"")</f>
        <v>0</v>
      </c>
      <c r="E159" s="70" t="str">
        <f t="array" ref="E159">IF(MOD(ROW()-ROW($B$12),3)=0,INDEX(BIODATA!H:H,INT((ROW()-ROW($B$12))/3)+24),"")</f>
        <v>Pengawas SMK</v>
      </c>
      <c r="F159" s="72" t="s">
        <v>134</v>
      </c>
      <c r="G159" s="73">
        <f t="array" ref="G159">IF(MOD(ROW()-ROW($G$12),3)=0,INDEX(RR!L:L,INT((ROW()-ROW($G$12))/3)+9),"")</f>
        <v>0</v>
      </c>
      <c r="H159" s="73">
        <f t="array" ref="H159">IF(MOD(ROW()-ROW($H$12),3)=0,INDEX(RR!R:R,INT((ROW()-ROW($H$12))/3)+9),"")</f>
        <v>0</v>
      </c>
      <c r="I159" s="73">
        <f t="array" ref="I159">IF(MOD(ROW()-ROW($I$12),3)=0,INDEX(RR!X:X,INT((ROW()-ROW($I$12))/3)+9),"")</f>
        <v>0</v>
      </c>
      <c r="J159" s="73">
        <f t="array" ref="J159">IF(MOD(ROW()-ROW($I$12),3)=0,INDEX(RR!AC:AC,INT((ROW()-ROW($I$12))/3)+9),"")</f>
        <v>0</v>
      </c>
      <c r="K159" s="73">
        <f t="array" ref="K159">IF(MOD(ROW()-ROW($I$12),3)=0,INDEX(RR!AH:AH,INT((ROW()-ROW($I$12))/3)+9),"")</f>
        <v>0</v>
      </c>
      <c r="L159" s="73">
        <f t="array" ref="L159">IF(MOD(ROW()-ROW($I$12),3)=0,INDEX(RR!AK:AK,INT((ROW()-ROW($I$12))/3)+9),"")</f>
        <v>0</v>
      </c>
      <c r="M159" s="73">
        <f t="array" ref="M159">IF(MOD(ROW()-ROW($I$12),3)=0,INDEX(RR!AQ:AQ,INT((ROW()-ROW($I$12))/3)+9),"")</f>
        <v>0</v>
      </c>
      <c r="N159" s="73">
        <f t="array" ref="N159">IF(MOD(ROW()-ROW($I$12),3)=0,INDEX(RR!AW:AW,INT((ROW()-ROW($I$12))/3)+9),"")</f>
        <v>0</v>
      </c>
      <c r="O159" s="73">
        <f t="array" ref="O159">IF(MOD(ROW()-ROW($I$12),3)=0,INDEX(RR!BB:BB,INT((ROW()-ROW($I$12))/3)+9),"")</f>
        <v>0</v>
      </c>
      <c r="P159" s="73">
        <f t="array" ref="P159">IF(MOD(ROW()-ROW($I$12),3)=0,INDEX(RR!BF:BF,INT((ROW()-ROW($I$12))/3)+9),"")</f>
        <v>0</v>
      </c>
      <c r="Q159" s="73">
        <f t="array" ref="Q159">IF(MOD(ROW()-ROW($I$12),3)=0,INDEX(RR!BI:BI,INT((ROW()-ROW($I$12))/3)+9),"")</f>
        <v>0</v>
      </c>
      <c r="R159" s="73">
        <f t="array" ref="R159">IF(MOD(ROW()-ROW($I$12),3)=0,INDEX(RR!BL:BL,INT((ROW()-ROW($I$12))/3)+9),"")</f>
        <v>0</v>
      </c>
      <c r="S159" s="73">
        <f t="array" ref="S159">IF(MOD(ROW()-ROW($I$12),3)=0,INDEX(RR!BP:BP,INT((ROW()-ROW($I$12))/3)+9),"")</f>
        <v>0</v>
      </c>
      <c r="T159" s="73">
        <f t="array" ref="T159">IF(MOD(ROW()-ROW($I$12),3)=0,INDEX(RR!BT:BT,INT((ROW()-ROW($I$12))/3)+9),"")</f>
        <v>0</v>
      </c>
      <c r="U159" s="73">
        <f t="array" ref="U159">IF(MOD(ROW()-ROW($I$12),3)=0,INDEX(RR!BV:BV,INT((ROW()-ROW($I$12))/3)+9),"")</f>
        <v>0</v>
      </c>
      <c r="V159" s="73">
        <f t="array" ref="V159">IF(MOD(ROW()-ROW($I$12),3)=0,INDEX(RR!BZ:BZ,INT((ROW()-ROW($I$12))/3)+9),"")</f>
        <v>0</v>
      </c>
      <c r="W159" s="73">
        <f t="shared" ref="W159:W160" si="148">IF(MOD(ROW()-ROW($W$12),3)&lt;&gt;2,SUM(G159:V159),"")</f>
        <v>0</v>
      </c>
      <c r="X159" s="73">
        <f>IF(MOD(ROW()-ROW($X$12),3)&lt;&gt;2,ROUND(W159/16,2),"")</f>
        <v>0</v>
      </c>
      <c r="Y159" s="70"/>
      <c r="Z159" s="74" t="str">
        <f t="array" ref="Z159">IF(MOD(ROW()-ROW($Z$12),3)=0,IF(INDEX(X:X,ROW()+2)&gt;=$AC$9,"L","TL"),"")</f>
        <v>TL</v>
      </c>
      <c r="AA159" s="56"/>
      <c r="AB159" s="56"/>
      <c r="AC159" s="56"/>
      <c r="AD159" s="56"/>
      <c r="AE159" s="56"/>
    </row>
    <row r="160" spans="1:31" ht="14.5">
      <c r="A160" s="70" t="str">
        <f t="shared" si="147"/>
        <v/>
      </c>
      <c r="B160" s="70" t="str">
        <f t="array" ref="B160">IF(MOD(ROW()-ROW($B$12),3)=0,INDEX(BIODATA!B:B,INT((ROW()-ROW($B$12))/3)+24),"")</f>
        <v/>
      </c>
      <c r="C160" s="70"/>
      <c r="D160" s="71"/>
      <c r="E160" s="70"/>
      <c r="F160" s="72" t="s">
        <v>105</v>
      </c>
      <c r="G160" s="73">
        <f t="array" ref="G160">IF(MOD(ROW()-ROW($G$12),3)=1,INDEX(PSAJ!F:F,INT((ROW()-ROW($G$12))/3)+8),"")</f>
        <v>0</v>
      </c>
      <c r="H160" s="73">
        <f t="array" ref="H160">IF(MOD(ROW()-ROW($G$12),3)=1,INDEX(PSAJ!G:G,INT((ROW()-ROW($G$12))/3)+8),"")</f>
        <v>0</v>
      </c>
      <c r="I160" s="73">
        <f t="array" ref="I160">IF(MOD(ROW()-ROW($G$12),3)=1,INDEX(PSAJ!H:H,INT((ROW()-ROW($G$12))/3)+8),"")</f>
        <v>0</v>
      </c>
      <c r="J160" s="73">
        <f t="array" ref="J160">IF(MOD(ROW()-ROW($G$12),3)=1,INDEX(PSAJ!I:I,INT((ROW()-ROW($G$12))/3)+8),"")</f>
        <v>0</v>
      </c>
      <c r="K160" s="73">
        <f t="array" ref="K160">IF(MOD(ROW()-ROW($G$12),3)=1,INDEX(PSAJ!J:J,INT((ROW()-ROW($G$12))/3)+8),"")</f>
        <v>0</v>
      </c>
      <c r="L160" s="73">
        <f t="array" ref="L160">IF(MOD(ROW()-ROW($G$12),3)=1,INDEX(PSAJ!K:K,INT((ROW()-ROW($G$12))/3)+8),"")</f>
        <v>0</v>
      </c>
      <c r="M160" s="73">
        <f t="array" ref="M160">IF(MOD(ROW()-ROW($G$12),3)=1,INDEX(PSAJ!L:L,INT((ROW()-ROW($G$12))/3)+8),"")</f>
        <v>0</v>
      </c>
      <c r="N160" s="73">
        <f t="array" ref="N160">IF(MOD(ROW()-ROW($G$12),3)=1,INDEX(PSAJ!M:M,INT((ROW()-ROW($G$12))/3)+8),"")</f>
        <v>0</v>
      </c>
      <c r="O160" s="73">
        <f t="array" ref="O160">IF(MOD(ROW()-ROW($G$12),3)=1,INDEX(PSAJ!N:N,INT((ROW()-ROW($G$12))/3)+8),"")</f>
        <v>0</v>
      </c>
      <c r="P160" s="73">
        <f t="array" ref="P160">IF(MOD(ROW()-ROW($G$12),3)=1,INDEX(PSAJ!O:O,INT((ROW()-ROW($G$12))/3)+8),"")</f>
        <v>0</v>
      </c>
      <c r="Q160" s="73">
        <f t="array" ref="Q160">IF(MOD(ROW()-ROW($G$12),3)=1,INDEX(PSAJ!P:P,INT((ROW()-ROW($G$12))/3)+8),"")</f>
        <v>0</v>
      </c>
      <c r="R160" s="73">
        <f t="array" ref="R160">IF(MOD(ROW()-ROW($G$12),3)=1,INDEX(PSAJ!Q:Q,INT((ROW()-ROW($G$12))/3)+8),"")</f>
        <v>0</v>
      </c>
      <c r="S160" s="73">
        <f t="array" ref="S160">IF(MOD(ROW()-ROW($G$12),3)=1,INDEX(PSAJ!R:R,INT((ROW()-ROW($G$12))/3)+8),"")</f>
        <v>0</v>
      </c>
      <c r="T160" s="73">
        <f t="array" ref="T160">IF(MOD(ROW()-ROW($G$12),3)=1,INDEX(PSAJ!S:S,INT((ROW()-ROW($G$12))/3)+8),"")</f>
        <v>0</v>
      </c>
      <c r="U160" s="73">
        <v>0</v>
      </c>
      <c r="V160" s="73">
        <f t="array" ref="V160">IF(MOD(ROW()-ROW($G$12),3)=1,INDEX(PSAJ!T:T,INT((ROW()-ROW($G$12))/3)+8),"")</f>
        <v>0</v>
      </c>
      <c r="W160" s="73">
        <f t="shared" si="148"/>
        <v>0</v>
      </c>
      <c r="X160" s="73">
        <f>IF(MOD(ROW()-ROW($X$12),3)&lt;&gt;2,ROUND(W160/15,2),"")</f>
        <v>0</v>
      </c>
      <c r="Y160" s="70"/>
      <c r="Z160" s="75"/>
      <c r="AA160" s="56"/>
      <c r="AB160" s="56"/>
      <c r="AC160" s="56"/>
      <c r="AD160" s="56"/>
      <c r="AE160" s="56"/>
    </row>
    <row r="161" spans="1:31" ht="14.5">
      <c r="A161" s="70"/>
      <c r="B161" s="70"/>
      <c r="C161" s="70"/>
      <c r="D161" s="71"/>
      <c r="E161" s="70"/>
      <c r="F161" s="76" t="s">
        <v>135</v>
      </c>
      <c r="G161" s="77">
        <f t="shared" ref="G161:T161" si="149">IF(MOD(ROW()-ROW($G$12),3)=2,((INDEX(G:G,ROW()-2)*$AC$4)+(INDEX(G:G,ROW()-1)*$AE$4))/$AD$5,"")</f>
        <v>0</v>
      </c>
      <c r="H161" s="77">
        <f t="shared" si="149"/>
        <v>0</v>
      </c>
      <c r="I161" s="77">
        <f t="shared" si="149"/>
        <v>0</v>
      </c>
      <c r="J161" s="77">
        <f t="shared" si="149"/>
        <v>0</v>
      </c>
      <c r="K161" s="77">
        <f t="shared" si="149"/>
        <v>0</v>
      </c>
      <c r="L161" s="77">
        <f t="shared" si="149"/>
        <v>0</v>
      </c>
      <c r="M161" s="77">
        <f t="shared" si="149"/>
        <v>0</v>
      </c>
      <c r="N161" s="77">
        <f t="shared" si="149"/>
        <v>0</v>
      </c>
      <c r="O161" s="77">
        <f t="shared" si="149"/>
        <v>0</v>
      </c>
      <c r="P161" s="77">
        <f t="shared" si="149"/>
        <v>0</v>
      </c>
      <c r="Q161" s="77">
        <f t="shared" si="149"/>
        <v>0</v>
      </c>
      <c r="R161" s="77">
        <f t="shared" si="149"/>
        <v>0</v>
      </c>
      <c r="S161" s="77">
        <f t="shared" si="149"/>
        <v>0</v>
      </c>
      <c r="T161" s="77">
        <f t="shared" si="149"/>
        <v>0</v>
      </c>
      <c r="U161" s="77">
        <f t="array" ref="U161">IF(MOD(ROW()-ROW($U$12),3)=2,N(INDEX(U:U,ROW()-2)),0)</f>
        <v>0</v>
      </c>
      <c r="V161" s="77">
        <f>IF(MOD(ROW()-ROW($G$12),3)=2,((INDEX(V:V,ROW()-2)*$AC$4)+(INDEX(V:V,ROW()-1)*$AE$4))/$AD$5,"")</f>
        <v>0</v>
      </c>
      <c r="W161" s="77">
        <f>IF(MOD(ROW()-ROW($G$12),3)=2,((INDEX(W:W,ROW()-2)*$AC$4)+(INDEX(W:W,ROW()-1)*$AE$4))/$AD$5,"")</f>
        <v>0</v>
      </c>
      <c r="X161" s="77">
        <f>IF(MOD(ROW()-ROW($G$12),3)=2,((INDEX(X:X,ROW()-2)*$AC$4)+(INDEX(X:X,ROW()-1)*$AE$4))/$AD$5,"")</f>
        <v>0</v>
      </c>
      <c r="Y161" s="78"/>
      <c r="Z161" s="77"/>
      <c r="AA161" s="56"/>
      <c r="AB161" s="56"/>
      <c r="AC161" s="56"/>
      <c r="AD161" s="56"/>
      <c r="AE161" s="56"/>
    </row>
    <row r="162" spans="1:31" ht="14.5">
      <c r="A162" s="70">
        <f t="shared" ref="A162:A163" si="150">IF(MOD(ROW()-12,3)=0,INT((ROW()-12)/3)+1,"")</f>
        <v>51</v>
      </c>
      <c r="B162" s="70">
        <f t="array" ref="B162">IF(MOD(ROW()-ROW($B$12),3)=0,INDEX(BIODATA!B:B,INT((ROW()-ROW($B$12))/3)+24),"")</f>
        <v>0</v>
      </c>
      <c r="C162" s="70">
        <f t="array" ref="C162">IF(MOD(ROW()-ROW($B$12),3)=0,INDEX(BIODATA!C:C,INT((ROW()-ROW($B$12))/3)+24),"")</f>
        <v>0</v>
      </c>
      <c r="D162" s="71">
        <f t="array" ref="D162">IF(MOD(ROW()-ROW($B$12),3)=0,INDEX(BIODATA!D:D,INT((ROW()-ROW($B$12))/3)+24),"")</f>
        <v>0</v>
      </c>
      <c r="E162" s="70">
        <f t="array" ref="E162">IF(MOD(ROW()-ROW($B$12),3)=0,INDEX(BIODATA!H:H,INT((ROW()-ROW($B$12))/3)+24),"")</f>
        <v>0</v>
      </c>
      <c r="F162" s="72" t="s">
        <v>134</v>
      </c>
      <c r="G162" s="73">
        <f t="array" ref="G162">IF(MOD(ROW()-ROW($G$12),3)=0,INDEX(RR!L:L,INT((ROW()-ROW($G$12))/3)+9),"")</f>
        <v>0</v>
      </c>
      <c r="H162" s="73">
        <f t="array" ref="H162">IF(MOD(ROW()-ROW($H$12),3)=0,INDEX(RR!R:R,INT((ROW()-ROW($H$12))/3)+9),"")</f>
        <v>0</v>
      </c>
      <c r="I162" s="73">
        <f t="array" ref="I162">IF(MOD(ROW()-ROW($I$12),3)=0,INDEX(RR!X:X,INT((ROW()-ROW($I$12))/3)+9),"")</f>
        <v>0</v>
      </c>
      <c r="J162" s="73">
        <f t="array" ref="J162">IF(MOD(ROW()-ROW($I$12),3)=0,INDEX(RR!AC:AC,INT((ROW()-ROW($I$12))/3)+9),"")</f>
        <v>0</v>
      </c>
      <c r="K162" s="73">
        <f t="array" ref="K162">IF(MOD(ROW()-ROW($I$12),3)=0,INDEX(RR!AH:AH,INT((ROW()-ROW($I$12))/3)+9),"")</f>
        <v>0</v>
      </c>
      <c r="L162" s="73">
        <f t="array" ref="L162">IF(MOD(ROW()-ROW($I$12),3)=0,INDEX(RR!AK:AK,INT((ROW()-ROW($I$12))/3)+9),"")</f>
        <v>0</v>
      </c>
      <c r="M162" s="73">
        <f t="array" ref="M162">IF(MOD(ROW()-ROW($I$12),3)=0,INDEX(RR!AQ:AQ,INT((ROW()-ROW($I$12))/3)+9),"")</f>
        <v>0</v>
      </c>
      <c r="N162" s="73">
        <f t="array" ref="N162">IF(MOD(ROW()-ROW($I$12),3)=0,INDEX(RR!AW:AW,INT((ROW()-ROW($I$12))/3)+9),"")</f>
        <v>0</v>
      </c>
      <c r="O162" s="73">
        <f t="array" ref="O162">IF(MOD(ROW()-ROW($I$12),3)=0,INDEX(RR!BB:BB,INT((ROW()-ROW($I$12))/3)+9),"")</f>
        <v>0</v>
      </c>
      <c r="P162" s="73">
        <f t="array" ref="P162">IF(MOD(ROW()-ROW($I$12),3)=0,INDEX(RR!BF:BF,INT((ROW()-ROW($I$12))/3)+9),"")</f>
        <v>0</v>
      </c>
      <c r="Q162" s="73">
        <f t="array" ref="Q162">IF(MOD(ROW()-ROW($I$12),3)=0,INDEX(RR!BI:BI,INT((ROW()-ROW($I$12))/3)+9),"")</f>
        <v>0</v>
      </c>
      <c r="R162" s="73">
        <f t="array" ref="R162">IF(MOD(ROW()-ROW($I$12),3)=0,INDEX(RR!BL:BL,INT((ROW()-ROW($I$12))/3)+9),"")</f>
        <v>0</v>
      </c>
      <c r="S162" s="73">
        <f t="array" ref="S162">IF(MOD(ROW()-ROW($I$12),3)=0,INDEX(RR!BP:BP,INT((ROW()-ROW($I$12))/3)+9),"")</f>
        <v>0</v>
      </c>
      <c r="T162" s="73">
        <f t="array" ref="T162">IF(MOD(ROW()-ROW($I$12),3)=0,INDEX(RR!BT:BT,INT((ROW()-ROW($I$12))/3)+9),"")</f>
        <v>0</v>
      </c>
      <c r="U162" s="73">
        <f t="array" ref="U162">IF(MOD(ROW()-ROW($I$12),3)=0,INDEX(RR!BV:BV,INT((ROW()-ROW($I$12))/3)+9),"")</f>
        <v>0</v>
      </c>
      <c r="V162" s="73">
        <f t="array" ref="V162">IF(MOD(ROW()-ROW($I$12),3)=0,INDEX(RR!BZ:BZ,INT((ROW()-ROW($I$12))/3)+9),"")</f>
        <v>0</v>
      </c>
      <c r="W162" s="73">
        <f t="shared" ref="W162:W163" si="151">IF(MOD(ROW()-ROW($W$12),3)&lt;&gt;2,SUM(G162:V162),"")</f>
        <v>0</v>
      </c>
      <c r="X162" s="73">
        <f>IF(MOD(ROW()-ROW($X$12),3)&lt;&gt;2,ROUND(W162/16,2),"")</f>
        <v>0</v>
      </c>
      <c r="Y162" s="70"/>
      <c r="Z162" s="74" t="str">
        <f t="array" ref="Z162">IF(MOD(ROW()-ROW($Z$12),3)=0,IF(INDEX(X:X,ROW()+2)&gt;=$AC$9,"L","TL"),"")</f>
        <v>TL</v>
      </c>
      <c r="AA162" s="56"/>
      <c r="AB162" s="56"/>
      <c r="AC162" s="56"/>
      <c r="AD162" s="56"/>
      <c r="AE162" s="56"/>
    </row>
    <row r="163" spans="1:31" ht="14.5">
      <c r="A163" s="70" t="str">
        <f t="shared" si="150"/>
        <v/>
      </c>
      <c r="B163" s="70" t="str">
        <f t="array" ref="B163">IF(MOD(ROW()-ROW($B$12),3)=0,INDEX(BIODATA!B:B,INT((ROW()-ROW($B$12))/3)+24),"")</f>
        <v/>
      </c>
      <c r="C163" s="70"/>
      <c r="D163" s="71"/>
      <c r="E163" s="70"/>
      <c r="F163" s="72" t="s">
        <v>105</v>
      </c>
      <c r="G163" s="73">
        <f t="array" ref="G163">IF(MOD(ROW()-ROW($G$12),3)=1,INDEX(PSAJ!F:F,INT((ROW()-ROW($G$12))/3)+8),"")</f>
        <v>99</v>
      </c>
      <c r="H163" s="73">
        <f t="array" ref="H163">IF(MOD(ROW()-ROW($G$12),3)=1,INDEX(PSAJ!G:G,INT((ROW()-ROW($G$12))/3)+8),"")</f>
        <v>89</v>
      </c>
      <c r="I163" s="73">
        <f t="array" ref="I163">IF(MOD(ROW()-ROW($G$12),3)=1,INDEX(PSAJ!H:H,INT((ROW()-ROW($G$12))/3)+8),"")</f>
        <v>88</v>
      </c>
      <c r="J163" s="73">
        <f t="array" ref="J163">IF(MOD(ROW()-ROW($G$12),3)=1,INDEX(PSAJ!I:I,INT((ROW()-ROW($G$12))/3)+8),"")</f>
        <v>90</v>
      </c>
      <c r="K163" s="73">
        <f t="array" ref="K163">IF(MOD(ROW()-ROW($G$12),3)=1,INDEX(PSAJ!J:J,INT((ROW()-ROW($G$12))/3)+8),"")</f>
        <v>94</v>
      </c>
      <c r="L163" s="73">
        <f t="array" ref="L163">IF(MOD(ROW()-ROW($G$12),3)=1,INDEX(PSAJ!K:K,INT((ROW()-ROW($G$12))/3)+8),"")</f>
        <v>91</v>
      </c>
      <c r="M163" s="73">
        <f t="array" ref="M163">IF(MOD(ROW()-ROW($G$12),3)=1,INDEX(PSAJ!L:L,INT((ROW()-ROW($G$12))/3)+8),"")</f>
        <v>90</v>
      </c>
      <c r="N163" s="73">
        <f t="array" ref="N163">IF(MOD(ROW()-ROW($G$12),3)=1,INDEX(PSAJ!M:M,INT((ROW()-ROW($G$12))/3)+8),"")</f>
        <v>91</v>
      </c>
      <c r="O163" s="73">
        <f t="array" ref="O163">IF(MOD(ROW()-ROW($G$12),3)=1,INDEX(PSAJ!N:N,INT((ROW()-ROW($G$12))/3)+8),"")</f>
        <v>90</v>
      </c>
      <c r="P163" s="73">
        <f t="array" ref="P163">IF(MOD(ROW()-ROW($G$12),3)=1,INDEX(PSAJ!O:O,INT((ROW()-ROW($G$12))/3)+8),"")</f>
        <v>90</v>
      </c>
      <c r="Q163" s="73">
        <f t="array" ref="Q163">IF(MOD(ROW()-ROW($G$12),3)=1,INDEX(PSAJ!P:P,INT((ROW()-ROW($G$12))/3)+8),"")</f>
        <v>93</v>
      </c>
      <c r="R163" s="73">
        <f t="array" ref="R163">IF(MOD(ROW()-ROW($G$12),3)=1,INDEX(PSAJ!Q:Q,INT((ROW()-ROW($G$12))/3)+8),"")</f>
        <v>90</v>
      </c>
      <c r="S163" s="73">
        <f t="array" ref="S163">IF(MOD(ROW()-ROW($G$12),3)=1,INDEX(PSAJ!R:R,INT((ROW()-ROW($G$12))/3)+8),"")</f>
        <v>90</v>
      </c>
      <c r="T163" s="73">
        <f t="array" ref="T163">IF(MOD(ROW()-ROW($G$12),3)=1,INDEX(PSAJ!S:S,INT((ROW()-ROW($G$12))/3)+8),"")</f>
        <v>91</v>
      </c>
      <c r="U163" s="73">
        <v>0</v>
      </c>
      <c r="V163" s="73">
        <f t="array" ref="V163">IF(MOD(ROW()-ROW($G$12),3)=1,INDEX(PSAJ!T:T,INT((ROW()-ROW($G$12))/3)+8),"")</f>
        <v>91</v>
      </c>
      <c r="W163" s="73">
        <f t="shared" si="151"/>
        <v>1367</v>
      </c>
      <c r="X163" s="73">
        <f>IF(MOD(ROW()-ROW($X$12),3)&lt;&gt;2,ROUND(W163/15,2),"")</f>
        <v>91.13</v>
      </c>
      <c r="Y163" s="70"/>
      <c r="Z163" s="75"/>
      <c r="AA163" s="56"/>
      <c r="AB163" s="56"/>
      <c r="AC163" s="56"/>
      <c r="AD163" s="56"/>
      <c r="AE163" s="56"/>
    </row>
    <row r="164" spans="1:31" ht="14.5">
      <c r="A164" s="70"/>
      <c r="B164" s="70"/>
      <c r="C164" s="70"/>
      <c r="D164" s="71"/>
      <c r="E164" s="70"/>
      <c r="F164" s="76" t="s">
        <v>135</v>
      </c>
      <c r="G164" s="77">
        <f t="shared" ref="G164:T164" si="152">IF(MOD(ROW()-ROW($G$12),3)=2,((INDEX(G:G,ROW()-2)*$AC$4)+(INDEX(G:G,ROW()-1)*$AE$4))/$AD$5,"")</f>
        <v>49.5</v>
      </c>
      <c r="H164" s="77">
        <f t="shared" si="152"/>
        <v>44.5</v>
      </c>
      <c r="I164" s="77">
        <f t="shared" si="152"/>
        <v>44</v>
      </c>
      <c r="J164" s="77">
        <f t="shared" si="152"/>
        <v>45</v>
      </c>
      <c r="K164" s="77">
        <f t="shared" si="152"/>
        <v>47</v>
      </c>
      <c r="L164" s="77">
        <f t="shared" si="152"/>
        <v>45.5</v>
      </c>
      <c r="M164" s="77">
        <f t="shared" si="152"/>
        <v>45</v>
      </c>
      <c r="N164" s="77">
        <f t="shared" si="152"/>
        <v>45.5</v>
      </c>
      <c r="O164" s="77">
        <f t="shared" si="152"/>
        <v>45</v>
      </c>
      <c r="P164" s="77">
        <f t="shared" si="152"/>
        <v>45</v>
      </c>
      <c r="Q164" s="77">
        <f t="shared" si="152"/>
        <v>46.5</v>
      </c>
      <c r="R164" s="77">
        <f t="shared" si="152"/>
        <v>45</v>
      </c>
      <c r="S164" s="77">
        <f t="shared" si="152"/>
        <v>45</v>
      </c>
      <c r="T164" s="77">
        <f t="shared" si="152"/>
        <v>45.5</v>
      </c>
      <c r="U164" s="77">
        <f t="array" ref="U164">IF(MOD(ROW()-ROW($U$12),3)=2,N(INDEX(U:U,ROW()-2)),0)</f>
        <v>0</v>
      </c>
      <c r="V164" s="77">
        <f>IF(MOD(ROW()-ROW($G$12),3)=2,((INDEX(V:V,ROW()-2)*$AC$4)+(INDEX(V:V,ROW()-1)*$AE$4))/$AD$5,"")</f>
        <v>45.5</v>
      </c>
      <c r="W164" s="77">
        <f>IF(MOD(ROW()-ROW($G$12),3)=2,((INDEX(W:W,ROW()-2)*$AC$4)+(INDEX(W:W,ROW()-1)*$AE$4))/$AD$5,"")</f>
        <v>683.5</v>
      </c>
      <c r="X164" s="77">
        <f>IF(MOD(ROW()-ROW($G$12),3)=2,((INDEX(X:X,ROW()-2)*$AC$4)+(INDEX(X:X,ROW()-1)*$AE$4))/$AD$5,"")</f>
        <v>45.564999999999998</v>
      </c>
      <c r="Y164" s="78"/>
      <c r="Z164" s="77"/>
      <c r="AA164" s="56"/>
      <c r="AB164" s="56"/>
      <c r="AC164" s="56"/>
      <c r="AD164" s="56"/>
      <c r="AE164" s="56"/>
    </row>
    <row r="165" spans="1:31" ht="14.5">
      <c r="A165" s="70">
        <f t="shared" ref="A165:A166" si="153">IF(MOD(ROW()-12,3)=0,INT((ROW()-12)/3)+1,"")</f>
        <v>52</v>
      </c>
      <c r="B165" s="70">
        <f t="array" ref="B165">IF(MOD(ROW()-ROW($B$12),3)=0,INDEX(BIODATA!B:B,INT((ROW()-ROW($B$12))/3)+24),"")</f>
        <v>0</v>
      </c>
      <c r="C165" s="70">
        <f t="array" ref="C165">IF(MOD(ROW()-ROW($B$12),3)=0,INDEX(BIODATA!C:C,INT((ROW()-ROW($B$12))/3)+24),"")</f>
        <v>0</v>
      </c>
      <c r="D165" s="71">
        <f t="array" ref="D165">IF(MOD(ROW()-ROW($B$12),3)=0,INDEX(BIODATA!D:D,INT((ROW()-ROW($B$12))/3)+24),"")</f>
        <v>0</v>
      </c>
      <c r="E165" s="70">
        <f t="array" ref="E165">IF(MOD(ROW()-ROW($B$12),3)=0,INDEX(BIODATA!H:H,INT((ROW()-ROW($B$12))/3)+24),"")</f>
        <v>0</v>
      </c>
      <c r="F165" s="72" t="s">
        <v>134</v>
      </c>
      <c r="G165" s="73">
        <f t="array" ref="G165">IF(MOD(ROW()-ROW($G$12),3)=0,INDEX(RR!L:L,INT((ROW()-ROW($G$12))/3)+9),"")</f>
        <v>0</v>
      </c>
      <c r="H165" s="73">
        <f t="array" ref="H165">IF(MOD(ROW()-ROW($H$12),3)=0,INDEX(RR!R:R,INT((ROW()-ROW($H$12))/3)+9),"")</f>
        <v>0</v>
      </c>
      <c r="I165" s="73">
        <f t="array" ref="I165">IF(MOD(ROW()-ROW($I$12),3)=0,INDEX(RR!X:X,INT((ROW()-ROW($I$12))/3)+9),"")</f>
        <v>0</v>
      </c>
      <c r="J165" s="73">
        <f t="array" ref="J165">IF(MOD(ROW()-ROW($I$12),3)=0,INDEX(RR!AC:AC,INT((ROW()-ROW($I$12))/3)+9),"")</f>
        <v>0</v>
      </c>
      <c r="K165" s="73">
        <f t="array" ref="K165">IF(MOD(ROW()-ROW($I$12),3)=0,INDEX(RR!AH:AH,INT((ROW()-ROW($I$12))/3)+9),"")</f>
        <v>0</v>
      </c>
      <c r="L165" s="73">
        <f t="array" ref="L165">IF(MOD(ROW()-ROW($I$12),3)=0,INDEX(RR!AK:AK,INT((ROW()-ROW($I$12))/3)+9),"")</f>
        <v>0</v>
      </c>
      <c r="M165" s="73">
        <f t="array" ref="M165">IF(MOD(ROW()-ROW($I$12),3)=0,INDEX(RR!AQ:AQ,INT((ROW()-ROW($I$12))/3)+9),"")</f>
        <v>0</v>
      </c>
      <c r="N165" s="73">
        <f t="array" ref="N165">IF(MOD(ROW()-ROW($I$12),3)=0,INDEX(RR!AW:AW,INT((ROW()-ROW($I$12))/3)+9),"")</f>
        <v>0</v>
      </c>
      <c r="O165" s="73">
        <f t="array" ref="O165">IF(MOD(ROW()-ROW($I$12),3)=0,INDEX(RR!BB:BB,INT((ROW()-ROW($I$12))/3)+9),"")</f>
        <v>0</v>
      </c>
      <c r="P165" s="73">
        <f t="array" ref="P165">IF(MOD(ROW()-ROW($I$12),3)=0,INDEX(RR!BF:BF,INT((ROW()-ROW($I$12))/3)+9),"")</f>
        <v>0</v>
      </c>
      <c r="Q165" s="73">
        <f t="array" ref="Q165">IF(MOD(ROW()-ROW($I$12),3)=0,INDEX(RR!BI:BI,INT((ROW()-ROW($I$12))/3)+9),"")</f>
        <v>0</v>
      </c>
      <c r="R165" s="73">
        <f t="array" ref="R165">IF(MOD(ROW()-ROW($I$12),3)=0,INDEX(RR!BL:BL,INT((ROW()-ROW($I$12))/3)+9),"")</f>
        <v>0</v>
      </c>
      <c r="S165" s="73">
        <f t="array" ref="S165">IF(MOD(ROW()-ROW($I$12),3)=0,INDEX(RR!BP:BP,INT((ROW()-ROW($I$12))/3)+9),"")</f>
        <v>0</v>
      </c>
      <c r="T165" s="73">
        <f t="array" ref="T165">IF(MOD(ROW()-ROW($I$12),3)=0,INDEX(RR!BT:BT,INT((ROW()-ROW($I$12))/3)+9),"")</f>
        <v>0</v>
      </c>
      <c r="U165" s="73">
        <f t="array" ref="U165">IF(MOD(ROW()-ROW($I$12),3)=0,INDEX(RR!BV:BV,INT((ROW()-ROW($I$12))/3)+9),"")</f>
        <v>0</v>
      </c>
      <c r="V165" s="73">
        <f t="array" ref="V165">IF(MOD(ROW()-ROW($I$12),3)=0,INDEX(RR!BZ:BZ,INT((ROW()-ROW($I$12))/3)+9),"")</f>
        <v>0</v>
      </c>
      <c r="W165" s="73">
        <f t="shared" ref="W165:W166" si="154">IF(MOD(ROW()-ROW($W$12),3)&lt;&gt;2,SUM(G165:V165),"")</f>
        <v>0</v>
      </c>
      <c r="X165" s="73">
        <f>IF(MOD(ROW()-ROW($X$12),3)&lt;&gt;2,ROUND(W165/16,2),"")</f>
        <v>0</v>
      </c>
      <c r="Y165" s="70"/>
      <c r="Z165" s="74" t="str">
        <f t="array" ref="Z165">IF(MOD(ROW()-ROW($Z$12),3)=0,IF(INDEX(X:X,ROW()+2)&gt;=$AC$9,"L","TL"),"")</f>
        <v>TL</v>
      </c>
      <c r="AA165" s="56"/>
      <c r="AB165" s="56"/>
      <c r="AC165" s="56"/>
      <c r="AD165" s="56"/>
      <c r="AE165" s="56"/>
    </row>
    <row r="166" spans="1:31" ht="14.5">
      <c r="A166" s="70" t="str">
        <f t="shared" si="153"/>
        <v/>
      </c>
      <c r="B166" s="70" t="str">
        <f t="array" ref="B166">IF(MOD(ROW()-ROW($B$12),3)=0,INDEX(BIODATA!B:B,INT((ROW()-ROW($B$12))/3)+24),"")</f>
        <v/>
      </c>
      <c r="C166" s="70"/>
      <c r="D166" s="71"/>
      <c r="E166" s="70"/>
      <c r="F166" s="72" t="s">
        <v>105</v>
      </c>
      <c r="G166" s="73">
        <f t="array" ref="G166">IF(MOD(ROW()-ROW($G$12),3)=1,INDEX(PSAJ!F:F,INT((ROW()-ROW($G$12))/3)+8),"")</f>
        <v>78</v>
      </c>
      <c r="H166" s="73">
        <f t="array" ref="H166">IF(MOD(ROW()-ROW($G$12),3)=1,INDEX(PSAJ!G:G,INT((ROW()-ROW($G$12))/3)+8),"")</f>
        <v>78</v>
      </c>
      <c r="I166" s="73">
        <f t="array" ref="I166">IF(MOD(ROW()-ROW($G$12),3)=1,INDEX(PSAJ!H:H,INT((ROW()-ROW($G$12))/3)+8),"")</f>
        <v>78</v>
      </c>
      <c r="J166" s="73">
        <f t="array" ref="J166">IF(MOD(ROW()-ROW($G$12),3)=1,INDEX(PSAJ!I:I,INT((ROW()-ROW($G$12))/3)+8),"")</f>
        <v>78</v>
      </c>
      <c r="K166" s="73">
        <f t="array" ref="K166">IF(MOD(ROW()-ROW($G$12),3)=1,INDEX(PSAJ!J:J,INT((ROW()-ROW($G$12))/3)+8),"")</f>
        <v>78</v>
      </c>
      <c r="L166" s="73">
        <f t="array" ref="L166">IF(MOD(ROW()-ROW($G$12),3)=1,INDEX(PSAJ!K:K,INT((ROW()-ROW($G$12))/3)+8),"")</f>
        <v>79</v>
      </c>
      <c r="M166" s="73">
        <f t="array" ref="M166">IF(MOD(ROW()-ROW($G$12),3)=1,INDEX(PSAJ!L:L,INT((ROW()-ROW($G$12))/3)+8),"")</f>
        <v>78</v>
      </c>
      <c r="N166" s="73">
        <f t="array" ref="N166">IF(MOD(ROW()-ROW($G$12),3)=1,INDEX(PSAJ!M:M,INT((ROW()-ROW($G$12))/3)+8),"")</f>
        <v>78</v>
      </c>
      <c r="O166" s="73">
        <f t="array" ref="O166">IF(MOD(ROW()-ROW($G$12),3)=1,INDEX(PSAJ!N:N,INT((ROW()-ROW($G$12))/3)+8),"")</f>
        <v>78</v>
      </c>
      <c r="P166" s="73">
        <f t="array" ref="P166">IF(MOD(ROW()-ROW($G$12),3)=1,INDEX(PSAJ!O:O,INT((ROW()-ROW($G$12))/3)+8),"")</f>
        <v>78</v>
      </c>
      <c r="Q166" s="73">
        <f t="array" ref="Q166">IF(MOD(ROW()-ROW($G$12),3)=1,INDEX(PSAJ!P:P,INT((ROW()-ROW($G$12))/3)+8),"")</f>
        <v>77</v>
      </c>
      <c r="R166" s="73">
        <f t="array" ref="R166">IF(MOD(ROW()-ROW($G$12),3)=1,INDEX(PSAJ!Q:Q,INT((ROW()-ROW($G$12))/3)+8),"")</f>
        <v>80</v>
      </c>
      <c r="S166" s="73">
        <f t="array" ref="S166">IF(MOD(ROW()-ROW($G$12),3)=1,INDEX(PSAJ!R:R,INT((ROW()-ROW($G$12))/3)+8),"")</f>
        <v>80</v>
      </c>
      <c r="T166" s="73">
        <f t="array" ref="T166">IF(MOD(ROW()-ROW($G$12),3)=1,INDEX(PSAJ!S:S,INT((ROW()-ROW($G$12))/3)+8),"")</f>
        <v>78</v>
      </c>
      <c r="U166" s="73">
        <v>0</v>
      </c>
      <c r="V166" s="73">
        <f t="array" ref="V166">IF(MOD(ROW()-ROW($G$12),3)=1,INDEX(PSAJ!T:T,INT((ROW()-ROW($G$12))/3)+8),"")</f>
        <v>78</v>
      </c>
      <c r="W166" s="73">
        <f t="shared" si="154"/>
        <v>1174</v>
      </c>
      <c r="X166" s="73">
        <f>IF(MOD(ROW()-ROW($X$12),3)&lt;&gt;2,ROUND(W166/15,2),"")</f>
        <v>78.27</v>
      </c>
      <c r="Y166" s="70"/>
      <c r="Z166" s="75"/>
      <c r="AA166" s="56"/>
      <c r="AB166" s="56"/>
      <c r="AC166" s="56"/>
      <c r="AD166" s="56"/>
      <c r="AE166" s="56"/>
    </row>
    <row r="167" spans="1:31" ht="14.5">
      <c r="A167" s="70"/>
      <c r="B167" s="70"/>
      <c r="C167" s="70"/>
      <c r="D167" s="71"/>
      <c r="E167" s="70"/>
      <c r="F167" s="76" t="s">
        <v>135</v>
      </c>
      <c r="G167" s="77">
        <f t="shared" ref="G167:T167" si="155">IF(MOD(ROW()-ROW($G$12),3)=2,((INDEX(G:G,ROW()-2)*$AC$4)+(INDEX(G:G,ROW()-1)*$AE$4))/$AD$5,"")</f>
        <v>39</v>
      </c>
      <c r="H167" s="77">
        <f t="shared" si="155"/>
        <v>39</v>
      </c>
      <c r="I167" s="77">
        <f t="shared" si="155"/>
        <v>39</v>
      </c>
      <c r="J167" s="77">
        <f t="shared" si="155"/>
        <v>39</v>
      </c>
      <c r="K167" s="77">
        <f t="shared" si="155"/>
        <v>39</v>
      </c>
      <c r="L167" s="77">
        <f t="shared" si="155"/>
        <v>39.5</v>
      </c>
      <c r="M167" s="77">
        <f t="shared" si="155"/>
        <v>39</v>
      </c>
      <c r="N167" s="77">
        <f t="shared" si="155"/>
        <v>39</v>
      </c>
      <c r="O167" s="77">
        <f t="shared" si="155"/>
        <v>39</v>
      </c>
      <c r="P167" s="77">
        <f t="shared" si="155"/>
        <v>39</v>
      </c>
      <c r="Q167" s="77">
        <f t="shared" si="155"/>
        <v>38.5</v>
      </c>
      <c r="R167" s="77">
        <f t="shared" si="155"/>
        <v>40</v>
      </c>
      <c r="S167" s="77">
        <f t="shared" si="155"/>
        <v>40</v>
      </c>
      <c r="T167" s="77">
        <f t="shared" si="155"/>
        <v>39</v>
      </c>
      <c r="U167" s="77">
        <f t="array" ref="U167">IF(MOD(ROW()-ROW($U$12),3)=2,N(INDEX(U:U,ROW()-2)),0)</f>
        <v>0</v>
      </c>
      <c r="V167" s="77">
        <f>IF(MOD(ROW()-ROW($G$12),3)=2,((INDEX(V:V,ROW()-2)*$AC$4)+(INDEX(V:V,ROW()-1)*$AE$4))/$AD$5,"")</f>
        <v>39</v>
      </c>
      <c r="W167" s="77">
        <f>IF(MOD(ROW()-ROW($G$12),3)=2,((INDEX(W:W,ROW()-2)*$AC$4)+(INDEX(W:W,ROW()-1)*$AE$4))/$AD$5,"")</f>
        <v>587</v>
      </c>
      <c r="X167" s="77">
        <f>IF(MOD(ROW()-ROW($G$12),3)=2,((INDEX(X:X,ROW()-2)*$AC$4)+(INDEX(X:X,ROW()-1)*$AE$4))/$AD$5,"")</f>
        <v>39.134999999999998</v>
      </c>
      <c r="Y167" s="78"/>
      <c r="Z167" s="77"/>
      <c r="AA167" s="56"/>
      <c r="AB167" s="56"/>
      <c r="AC167" s="56"/>
      <c r="AD167" s="56"/>
      <c r="AE167" s="56"/>
    </row>
    <row r="168" spans="1:31" ht="14.5">
      <c r="A168" s="70">
        <f t="shared" ref="A168:A169" si="156">IF(MOD(ROW()-12,3)=0,INT((ROW()-12)/3)+1,"")</f>
        <v>53</v>
      </c>
      <c r="B168" s="70">
        <f t="array" ref="B168">IF(MOD(ROW()-ROW($B$12),3)=0,INDEX(BIODATA!B:B,INT((ROW()-ROW($B$12))/3)+24),"")</f>
        <v>0</v>
      </c>
      <c r="C168" s="70">
        <f t="array" ref="C168">IF(MOD(ROW()-ROW($B$12),3)=0,INDEX(BIODATA!C:C,INT((ROW()-ROW($B$12))/3)+24),"")</f>
        <v>0</v>
      </c>
      <c r="D168" s="71">
        <f t="array" ref="D168">IF(MOD(ROW()-ROW($B$12),3)=0,INDEX(BIODATA!D:D,INT((ROW()-ROW($B$12))/3)+24),"")</f>
        <v>0</v>
      </c>
      <c r="E168" s="70">
        <f t="array" ref="E168">IF(MOD(ROW()-ROW($B$12),3)=0,INDEX(BIODATA!H:H,INT((ROW()-ROW($B$12))/3)+24),"")</f>
        <v>0</v>
      </c>
      <c r="F168" s="72" t="s">
        <v>134</v>
      </c>
      <c r="G168" s="73">
        <f t="array" ref="G168">IF(MOD(ROW()-ROW($G$12),3)=0,INDEX(RR!L:L,INT((ROW()-ROW($G$12))/3)+9),"")</f>
        <v>0</v>
      </c>
      <c r="H168" s="73">
        <f t="array" ref="H168">IF(MOD(ROW()-ROW($H$12),3)=0,INDEX(RR!R:R,INT((ROW()-ROW($H$12))/3)+9),"")</f>
        <v>0</v>
      </c>
      <c r="I168" s="73">
        <f t="array" ref="I168">IF(MOD(ROW()-ROW($I$12),3)=0,INDEX(RR!X:X,INT((ROW()-ROW($I$12))/3)+9),"")</f>
        <v>0</v>
      </c>
      <c r="J168" s="73">
        <f t="array" ref="J168">IF(MOD(ROW()-ROW($I$12),3)=0,INDEX(RR!AC:AC,INT((ROW()-ROW($I$12))/3)+9),"")</f>
        <v>0</v>
      </c>
      <c r="K168" s="73">
        <f t="array" ref="K168">IF(MOD(ROW()-ROW($I$12),3)=0,INDEX(RR!AH:AH,INT((ROW()-ROW($I$12))/3)+9),"")</f>
        <v>0</v>
      </c>
      <c r="L168" s="73">
        <f t="array" ref="L168">IF(MOD(ROW()-ROW($I$12),3)=0,INDEX(RR!AK:AK,INT((ROW()-ROW($I$12))/3)+9),"")</f>
        <v>0</v>
      </c>
      <c r="M168" s="73">
        <f t="array" ref="M168">IF(MOD(ROW()-ROW($I$12),3)=0,INDEX(RR!AQ:AQ,INT((ROW()-ROW($I$12))/3)+9),"")</f>
        <v>0</v>
      </c>
      <c r="N168" s="73">
        <f t="array" ref="N168">IF(MOD(ROW()-ROW($I$12),3)=0,INDEX(RR!AW:AW,INT((ROW()-ROW($I$12))/3)+9),"")</f>
        <v>0</v>
      </c>
      <c r="O168" s="73">
        <f t="array" ref="O168">IF(MOD(ROW()-ROW($I$12),3)=0,INDEX(RR!BB:BB,INT((ROW()-ROW($I$12))/3)+9),"")</f>
        <v>0</v>
      </c>
      <c r="P168" s="73">
        <f t="array" ref="P168">IF(MOD(ROW()-ROW($I$12),3)=0,INDEX(RR!BF:BF,INT((ROW()-ROW($I$12))/3)+9),"")</f>
        <v>0</v>
      </c>
      <c r="Q168" s="73">
        <f t="array" ref="Q168">IF(MOD(ROW()-ROW($I$12),3)=0,INDEX(RR!BI:BI,INT((ROW()-ROW($I$12))/3)+9),"")</f>
        <v>0</v>
      </c>
      <c r="R168" s="73">
        <f t="array" ref="R168">IF(MOD(ROW()-ROW($I$12),3)=0,INDEX(RR!BL:BL,INT((ROW()-ROW($I$12))/3)+9),"")</f>
        <v>0</v>
      </c>
      <c r="S168" s="73">
        <f t="array" ref="S168">IF(MOD(ROW()-ROW($I$12),3)=0,INDEX(RR!BP:BP,INT((ROW()-ROW($I$12))/3)+9),"")</f>
        <v>0</v>
      </c>
      <c r="T168" s="73">
        <f t="array" ref="T168">IF(MOD(ROW()-ROW($I$12),3)=0,INDEX(RR!BT:BT,INT((ROW()-ROW($I$12))/3)+9),"")</f>
        <v>0</v>
      </c>
      <c r="U168" s="73">
        <f t="array" ref="U168">IF(MOD(ROW()-ROW($I$12),3)=0,INDEX(RR!BV:BV,INT((ROW()-ROW($I$12))/3)+9),"")</f>
        <v>0</v>
      </c>
      <c r="V168" s="73">
        <f t="array" ref="V168">IF(MOD(ROW()-ROW($I$12),3)=0,INDEX(RR!BZ:BZ,INT((ROW()-ROW($I$12))/3)+9),"")</f>
        <v>0</v>
      </c>
      <c r="W168" s="73">
        <f t="shared" ref="W168:W169" si="157">IF(MOD(ROW()-ROW($W$12),3)&lt;&gt;2,SUM(G168:V168),"")</f>
        <v>0</v>
      </c>
      <c r="X168" s="73">
        <f>IF(MOD(ROW()-ROW($X$12),3)&lt;&gt;2,ROUND(W168/16,2),"")</f>
        <v>0</v>
      </c>
      <c r="Y168" s="70"/>
      <c r="Z168" s="74" t="str">
        <f t="array" ref="Z168">IF(MOD(ROW()-ROW($Z$12),3)=0,IF(INDEX(X:X,ROW()+2)&gt;=$AC$9,"L","TL"),"")</f>
        <v>TL</v>
      </c>
      <c r="AA168" s="56"/>
      <c r="AB168" s="56"/>
      <c r="AC168" s="56"/>
      <c r="AD168" s="56"/>
      <c r="AE168" s="56"/>
    </row>
    <row r="169" spans="1:31" ht="14.5">
      <c r="A169" s="70" t="str">
        <f t="shared" si="156"/>
        <v/>
      </c>
      <c r="B169" s="70" t="str">
        <f t="array" ref="B169">IF(MOD(ROW()-ROW($B$12),3)=0,INDEX(BIODATA!B:B,INT((ROW()-ROW($B$12))/3)+24),"")</f>
        <v/>
      </c>
      <c r="C169" s="70"/>
      <c r="D169" s="71"/>
      <c r="E169" s="70"/>
      <c r="F169" s="72" t="s">
        <v>105</v>
      </c>
      <c r="G169" s="73">
        <f t="array" ref="G169">IF(MOD(ROW()-ROW($G$12),3)=1,INDEX(PSAJ!F:F,INT((ROW()-ROW($G$12))/3)+8),"")</f>
        <v>82.58</v>
      </c>
      <c r="H169" s="73">
        <f t="array" ref="H169">IF(MOD(ROW()-ROW($G$12),3)=1,INDEX(PSAJ!G:G,INT((ROW()-ROW($G$12))/3)+8),"")</f>
        <v>81.319999999999993</v>
      </c>
      <c r="I169" s="73">
        <f t="array" ref="I169">IF(MOD(ROW()-ROW($G$12),3)=1,INDEX(PSAJ!H:H,INT((ROW()-ROW($G$12))/3)+8),"")</f>
        <v>81.58</v>
      </c>
      <c r="J169" s="73">
        <f t="array" ref="J169">IF(MOD(ROW()-ROW($G$12),3)=1,INDEX(PSAJ!I:I,INT((ROW()-ROW($G$12))/3)+8),"")</f>
        <v>80.95</v>
      </c>
      <c r="K169" s="73">
        <f t="array" ref="K169">IF(MOD(ROW()-ROW($G$12),3)=1,INDEX(PSAJ!J:J,INT((ROW()-ROW($G$12))/3)+8),"")</f>
        <v>81.739999999999995</v>
      </c>
      <c r="L169" s="73">
        <f t="array" ref="L169">IF(MOD(ROW()-ROW($G$12),3)=1,INDEX(PSAJ!K:K,INT((ROW()-ROW($G$12))/3)+8),"")</f>
        <v>81.84</v>
      </c>
      <c r="M169" s="73">
        <f t="array" ref="M169">IF(MOD(ROW()-ROW($G$12),3)=1,INDEX(PSAJ!L:L,INT((ROW()-ROW($G$12))/3)+8),"")</f>
        <v>80.95</v>
      </c>
      <c r="N169" s="73">
        <f t="array" ref="N169">IF(MOD(ROW()-ROW($G$12),3)=1,INDEX(PSAJ!M:M,INT((ROW()-ROW($G$12))/3)+8),"")</f>
        <v>83</v>
      </c>
      <c r="O169" s="73">
        <f t="array" ref="O169">IF(MOD(ROW()-ROW($G$12),3)=1,INDEX(PSAJ!N:N,INT((ROW()-ROW($G$12))/3)+8),"")</f>
        <v>80.16</v>
      </c>
      <c r="P169" s="73">
        <f t="array" ref="P169">IF(MOD(ROW()-ROW($G$12),3)=1,INDEX(PSAJ!O:O,INT((ROW()-ROW($G$12))/3)+8),"")</f>
        <v>81.42</v>
      </c>
      <c r="Q169" s="73">
        <f t="array" ref="Q169">IF(MOD(ROW()-ROW($G$12),3)=1,INDEX(PSAJ!P:P,INT((ROW()-ROW($G$12))/3)+8),"")</f>
        <v>80.739999999999995</v>
      </c>
      <c r="R169" s="73">
        <f t="array" ref="R169">IF(MOD(ROW()-ROW($G$12),3)=1,INDEX(PSAJ!Q:Q,INT((ROW()-ROW($G$12))/3)+8),"")</f>
        <v>84.58</v>
      </c>
      <c r="S169" s="73">
        <f t="array" ref="S169">IF(MOD(ROW()-ROW($G$12),3)=1,INDEX(PSAJ!R:R,INT((ROW()-ROW($G$12))/3)+8),"")</f>
        <v>84.95</v>
      </c>
      <c r="T169" s="73">
        <f t="array" ref="T169">IF(MOD(ROW()-ROW($G$12),3)=1,INDEX(PSAJ!S:S,INT((ROW()-ROW($G$12))/3)+8),"")</f>
        <v>83.79</v>
      </c>
      <c r="U169" s="73">
        <v>0</v>
      </c>
      <c r="V169" s="73">
        <f t="array" ref="V169">IF(MOD(ROW()-ROW($G$12),3)=1,INDEX(PSAJ!T:T,INT((ROW()-ROW($G$12))/3)+8),"")</f>
        <v>83.79</v>
      </c>
      <c r="W169" s="73">
        <f t="shared" si="157"/>
        <v>1233.3899999999999</v>
      </c>
      <c r="X169" s="73">
        <f>IF(MOD(ROW()-ROW($X$12),3)&lt;&gt;2,ROUND(W169/15,2),"")</f>
        <v>82.23</v>
      </c>
      <c r="Y169" s="70"/>
      <c r="Z169" s="75"/>
      <c r="AA169" s="56"/>
      <c r="AB169" s="56"/>
      <c r="AC169" s="56"/>
      <c r="AD169" s="56"/>
      <c r="AE169" s="56"/>
    </row>
    <row r="170" spans="1:31" ht="14.5">
      <c r="A170" s="70"/>
      <c r="B170" s="70"/>
      <c r="C170" s="70"/>
      <c r="D170" s="71"/>
      <c r="E170" s="70"/>
      <c r="F170" s="76" t="s">
        <v>135</v>
      </c>
      <c r="G170" s="77">
        <f t="shared" ref="G170:T170" si="158">IF(MOD(ROW()-ROW($G$12),3)=2,((INDEX(G:G,ROW()-2)*$AC$4)+(INDEX(G:G,ROW()-1)*$AE$4))/$AD$5,"")</f>
        <v>41.29</v>
      </c>
      <c r="H170" s="77">
        <f t="shared" si="158"/>
        <v>40.659999999999997</v>
      </c>
      <c r="I170" s="77">
        <f t="shared" si="158"/>
        <v>40.79</v>
      </c>
      <c r="J170" s="77">
        <f t="shared" si="158"/>
        <v>40.475000000000001</v>
      </c>
      <c r="K170" s="77">
        <f t="shared" si="158"/>
        <v>40.869999999999997</v>
      </c>
      <c r="L170" s="77">
        <f t="shared" si="158"/>
        <v>40.92</v>
      </c>
      <c r="M170" s="77">
        <f t="shared" si="158"/>
        <v>40.475000000000001</v>
      </c>
      <c r="N170" s="77">
        <f t="shared" si="158"/>
        <v>41.5</v>
      </c>
      <c r="O170" s="77">
        <f t="shared" si="158"/>
        <v>40.08</v>
      </c>
      <c r="P170" s="77">
        <f t="shared" si="158"/>
        <v>40.71</v>
      </c>
      <c r="Q170" s="77">
        <f t="shared" si="158"/>
        <v>40.369999999999997</v>
      </c>
      <c r="R170" s="77">
        <f t="shared" si="158"/>
        <v>42.29</v>
      </c>
      <c r="S170" s="77">
        <f t="shared" si="158"/>
        <v>42.475000000000001</v>
      </c>
      <c r="T170" s="77">
        <f t="shared" si="158"/>
        <v>41.895000000000003</v>
      </c>
      <c r="U170" s="77">
        <f t="array" ref="U170">IF(MOD(ROW()-ROW($U$12),3)=2,N(INDEX(U:U,ROW()-2)),0)</f>
        <v>0</v>
      </c>
      <c r="V170" s="77">
        <f>IF(MOD(ROW()-ROW($G$12),3)=2,((INDEX(V:V,ROW()-2)*$AC$4)+(INDEX(V:V,ROW()-1)*$AE$4))/$AD$5,"")</f>
        <v>41.895000000000003</v>
      </c>
      <c r="W170" s="77">
        <f>IF(MOD(ROW()-ROW($G$12),3)=2,((INDEX(W:W,ROW()-2)*$AC$4)+(INDEX(W:W,ROW()-1)*$AE$4))/$AD$5,"")</f>
        <v>616.69499999999994</v>
      </c>
      <c r="X170" s="77">
        <f>IF(MOD(ROW()-ROW($G$12),3)=2,((INDEX(X:X,ROW()-2)*$AC$4)+(INDEX(X:X,ROW()-1)*$AE$4))/$AD$5,"")</f>
        <v>41.115000000000002</v>
      </c>
      <c r="Y170" s="78"/>
      <c r="Z170" s="77"/>
      <c r="AA170" s="56"/>
      <c r="AB170" s="56"/>
      <c r="AC170" s="56"/>
      <c r="AD170" s="56"/>
      <c r="AE170" s="56"/>
    </row>
    <row r="171" spans="1:31" ht="14.5">
      <c r="A171" s="70">
        <f t="shared" ref="A171:A172" si="159">IF(MOD(ROW()-12,3)=0,INT((ROW()-12)/3)+1,"")</f>
        <v>54</v>
      </c>
      <c r="B171" s="70">
        <f t="array" ref="B171">IF(MOD(ROW()-ROW($B$12),3)=0,INDEX(BIODATA!B:B,INT((ROW()-ROW($B$12))/3)+24),"")</f>
        <v>0</v>
      </c>
      <c r="C171" s="70" t="str">
        <f t="array" ref="C171">IF(MOD(ROW()-ROW($B$12),3)=0,INDEX(BIODATA!C:C,INT((ROW()-ROW($B$12))/3)+24),"")</f>
        <v>Pinky Hidayati, S.Psi., M.Psi.</v>
      </c>
      <c r="D171" s="71">
        <f t="array" ref="D171">IF(MOD(ROW()-ROW($B$12),3)=0,INDEX(BIODATA!D:D,INT((ROW()-ROW($B$12))/3)+24),"")</f>
        <v>0</v>
      </c>
      <c r="E171" s="70" t="str">
        <f t="array" ref="E171">IF(MOD(ROW()-ROW($B$12),3)=0,INDEX(BIODATA!H:H,INT((ROW()-ROW($B$12))/3)+24),"")</f>
        <v>Arini Hidayati, S.Pd., M.Pd</v>
      </c>
      <c r="F171" s="72" t="s">
        <v>134</v>
      </c>
      <c r="G171" s="73">
        <f t="array" ref="G171">IF(MOD(ROW()-ROW($G$12),3)=0,INDEX(RR!L:L,INT((ROW()-ROW($G$12))/3)+9),"")</f>
        <v>0</v>
      </c>
      <c r="H171" s="73">
        <f t="array" ref="H171">IF(MOD(ROW()-ROW($H$12),3)=0,INDEX(RR!R:R,INT((ROW()-ROW($H$12))/3)+9),"")</f>
        <v>0</v>
      </c>
      <c r="I171" s="73">
        <f t="array" ref="I171">IF(MOD(ROW()-ROW($I$12),3)=0,INDEX(RR!X:X,INT((ROW()-ROW($I$12))/3)+9),"")</f>
        <v>0</v>
      </c>
      <c r="J171" s="73">
        <f t="array" ref="J171">IF(MOD(ROW()-ROW($I$12),3)=0,INDEX(RR!AC:AC,INT((ROW()-ROW($I$12))/3)+9),"")</f>
        <v>0</v>
      </c>
      <c r="K171" s="73">
        <f t="array" ref="K171">IF(MOD(ROW()-ROW($I$12),3)=0,INDEX(RR!AH:AH,INT((ROW()-ROW($I$12))/3)+9),"")</f>
        <v>0</v>
      </c>
      <c r="L171" s="73">
        <f t="array" ref="L171">IF(MOD(ROW()-ROW($I$12),3)=0,INDEX(RR!AK:AK,INT((ROW()-ROW($I$12))/3)+9),"")</f>
        <v>0</v>
      </c>
      <c r="M171" s="73">
        <f t="array" ref="M171">IF(MOD(ROW()-ROW($I$12),3)=0,INDEX(RR!AQ:AQ,INT((ROW()-ROW($I$12))/3)+9),"")</f>
        <v>0</v>
      </c>
      <c r="N171" s="73">
        <f t="array" ref="N171">IF(MOD(ROW()-ROW($I$12),3)=0,INDEX(RR!AW:AW,INT((ROW()-ROW($I$12))/3)+9),"")</f>
        <v>0</v>
      </c>
      <c r="O171" s="73">
        <f t="array" ref="O171">IF(MOD(ROW()-ROW($I$12),3)=0,INDEX(RR!BB:BB,INT((ROW()-ROW($I$12))/3)+9),"")</f>
        <v>0</v>
      </c>
      <c r="P171" s="73">
        <f t="array" ref="P171">IF(MOD(ROW()-ROW($I$12),3)=0,INDEX(RR!BF:BF,INT((ROW()-ROW($I$12))/3)+9),"")</f>
        <v>0</v>
      </c>
      <c r="Q171" s="73">
        <f t="array" ref="Q171">IF(MOD(ROW()-ROW($I$12),3)=0,INDEX(RR!BI:BI,INT((ROW()-ROW($I$12))/3)+9),"")</f>
        <v>0</v>
      </c>
      <c r="R171" s="73">
        <f t="array" ref="R171">IF(MOD(ROW()-ROW($I$12),3)=0,INDEX(RR!BL:BL,INT((ROW()-ROW($I$12))/3)+9),"")</f>
        <v>0</v>
      </c>
      <c r="S171" s="73">
        <f t="array" ref="S171">IF(MOD(ROW()-ROW($I$12),3)=0,INDEX(RR!BP:BP,INT((ROW()-ROW($I$12))/3)+9),"")</f>
        <v>0</v>
      </c>
      <c r="T171" s="73">
        <f t="array" ref="T171">IF(MOD(ROW()-ROW($I$12),3)=0,INDEX(RR!BT:BT,INT((ROW()-ROW($I$12))/3)+9),"")</f>
        <v>0</v>
      </c>
      <c r="U171" s="73">
        <f t="array" ref="U171">IF(MOD(ROW()-ROW($I$12),3)=0,INDEX(RR!BV:BV,INT((ROW()-ROW($I$12))/3)+9),"")</f>
        <v>0</v>
      </c>
      <c r="V171" s="73">
        <f t="array" ref="V171">IF(MOD(ROW()-ROW($I$12),3)=0,INDEX(RR!BZ:BZ,INT((ROW()-ROW($I$12))/3)+9),"")</f>
        <v>0</v>
      </c>
      <c r="W171" s="73">
        <f t="shared" ref="W171:W172" si="160">IF(MOD(ROW()-ROW($W$12),3)&lt;&gt;2,SUM(G171:V171),"")</f>
        <v>0</v>
      </c>
      <c r="X171" s="73">
        <f>IF(MOD(ROW()-ROW($X$12),3)&lt;&gt;2,ROUND(W171/16,2),"")</f>
        <v>0</v>
      </c>
      <c r="Y171" s="70"/>
      <c r="Z171" s="74" t="str">
        <f t="array" ref="Z171">IF(MOD(ROW()-ROW($Z$12),3)=0,IF(INDEX(X:X,ROW()+2)&gt;=$AC$9,"L","TL"),"")</f>
        <v>TL</v>
      </c>
      <c r="AA171" s="56"/>
      <c r="AB171" s="56"/>
      <c r="AC171" s="56"/>
      <c r="AD171" s="56"/>
      <c r="AE171" s="56"/>
    </row>
    <row r="172" spans="1:31" ht="14.5">
      <c r="A172" s="70" t="str">
        <f t="shared" si="159"/>
        <v/>
      </c>
      <c r="B172" s="70" t="str">
        <f t="array" ref="B172">IF(MOD(ROW()-ROW($B$12),3)=0,INDEX(BIODATA!B:B,INT((ROW()-ROW($B$12))/3)+24),"")</f>
        <v/>
      </c>
      <c r="C172" s="70"/>
      <c r="D172" s="71"/>
      <c r="E172" s="70"/>
      <c r="F172" s="72" t="s">
        <v>105</v>
      </c>
      <c r="G172" s="73">
        <f t="array" ref="G172">IF(MOD(ROW()-ROW($G$12),3)=1,INDEX(PSAJ!F:F,INT((ROW()-ROW($G$12))/3)+8),"")</f>
        <v>0</v>
      </c>
      <c r="H172" s="73">
        <f t="array" ref="H172">IF(MOD(ROW()-ROW($G$12),3)=1,INDEX(PSAJ!G:G,INT((ROW()-ROW($G$12))/3)+8),"")</f>
        <v>0</v>
      </c>
      <c r="I172" s="73">
        <f t="array" ref="I172">IF(MOD(ROW()-ROW($G$12),3)=1,INDEX(PSAJ!H:H,INT((ROW()-ROW($G$12))/3)+8),"")</f>
        <v>0</v>
      </c>
      <c r="J172" s="73">
        <f t="array" ref="J172">IF(MOD(ROW()-ROW($G$12),3)=1,INDEX(PSAJ!I:I,INT((ROW()-ROW($G$12))/3)+8),"")</f>
        <v>0</v>
      </c>
      <c r="K172" s="73">
        <f t="array" ref="K172">IF(MOD(ROW()-ROW($G$12),3)=1,INDEX(PSAJ!J:J,INT((ROW()-ROW($G$12))/3)+8),"")</f>
        <v>0</v>
      </c>
      <c r="L172" s="73">
        <f t="array" ref="L172">IF(MOD(ROW()-ROW($G$12),3)=1,INDEX(PSAJ!K:K,INT((ROW()-ROW($G$12))/3)+8),"")</f>
        <v>0</v>
      </c>
      <c r="M172" s="73">
        <f t="array" ref="M172">IF(MOD(ROW()-ROW($G$12),3)=1,INDEX(PSAJ!L:L,INT((ROW()-ROW($G$12))/3)+8),"")</f>
        <v>0</v>
      </c>
      <c r="N172" s="73">
        <f t="array" ref="N172">IF(MOD(ROW()-ROW($G$12),3)=1,INDEX(PSAJ!M:M,INT((ROW()-ROW($G$12))/3)+8),"")</f>
        <v>0</v>
      </c>
      <c r="O172" s="73">
        <f t="array" ref="O172">IF(MOD(ROW()-ROW($G$12),3)=1,INDEX(PSAJ!N:N,INT((ROW()-ROW($G$12))/3)+8),"")</f>
        <v>0</v>
      </c>
      <c r="P172" s="73">
        <f t="array" ref="P172">IF(MOD(ROW()-ROW($G$12),3)=1,INDEX(PSAJ!O:O,INT((ROW()-ROW($G$12))/3)+8),"")</f>
        <v>0</v>
      </c>
      <c r="Q172" s="73">
        <f t="array" ref="Q172">IF(MOD(ROW()-ROW($G$12),3)=1,INDEX(PSAJ!P:P,INT((ROW()-ROW($G$12))/3)+8),"")</f>
        <v>0</v>
      </c>
      <c r="R172" s="73">
        <f t="array" ref="R172">IF(MOD(ROW()-ROW($G$12),3)=1,INDEX(PSAJ!Q:Q,INT((ROW()-ROW($G$12))/3)+8),"")</f>
        <v>0</v>
      </c>
      <c r="S172" s="73">
        <f t="array" ref="S172">IF(MOD(ROW()-ROW($G$12),3)=1,INDEX(PSAJ!R:R,INT((ROW()-ROW($G$12))/3)+8),"")</f>
        <v>0</v>
      </c>
      <c r="T172" s="73">
        <f t="array" ref="T172">IF(MOD(ROW()-ROW($G$12),3)=1,INDEX(PSAJ!S:S,INT((ROW()-ROW($G$12))/3)+8),"")</f>
        <v>0</v>
      </c>
      <c r="U172" s="73">
        <v>0</v>
      </c>
      <c r="V172" s="73">
        <f t="array" ref="V172">IF(MOD(ROW()-ROW($G$12),3)=1,INDEX(PSAJ!T:T,INT((ROW()-ROW($G$12))/3)+8),"")</f>
        <v>0</v>
      </c>
      <c r="W172" s="73">
        <f t="shared" si="160"/>
        <v>0</v>
      </c>
      <c r="X172" s="73">
        <f>IF(MOD(ROW()-ROW($X$12),3)&lt;&gt;2,ROUND(W172/15,2),"")</f>
        <v>0</v>
      </c>
      <c r="Y172" s="70"/>
      <c r="Z172" s="75"/>
      <c r="AA172" s="56"/>
      <c r="AB172" s="56"/>
      <c r="AC172" s="56"/>
      <c r="AD172" s="56"/>
      <c r="AE172" s="56"/>
    </row>
    <row r="173" spans="1:31" ht="14.5">
      <c r="A173" s="70"/>
      <c r="B173" s="70"/>
      <c r="C173" s="70"/>
      <c r="D173" s="71"/>
      <c r="E173" s="70"/>
      <c r="F173" s="76" t="s">
        <v>135</v>
      </c>
      <c r="G173" s="77">
        <f t="shared" ref="G173:T173" si="161">IF(MOD(ROW()-ROW($G$12),3)=2,((INDEX(G:G,ROW()-2)*$AC$4)+(INDEX(G:G,ROW()-1)*$AE$4))/$AD$5,"")</f>
        <v>0</v>
      </c>
      <c r="H173" s="77">
        <f t="shared" si="161"/>
        <v>0</v>
      </c>
      <c r="I173" s="77">
        <f t="shared" si="161"/>
        <v>0</v>
      </c>
      <c r="J173" s="77">
        <f t="shared" si="161"/>
        <v>0</v>
      </c>
      <c r="K173" s="77">
        <f t="shared" si="161"/>
        <v>0</v>
      </c>
      <c r="L173" s="77">
        <f t="shared" si="161"/>
        <v>0</v>
      </c>
      <c r="M173" s="77">
        <f t="shared" si="161"/>
        <v>0</v>
      </c>
      <c r="N173" s="77">
        <f t="shared" si="161"/>
        <v>0</v>
      </c>
      <c r="O173" s="77">
        <f t="shared" si="161"/>
        <v>0</v>
      </c>
      <c r="P173" s="77">
        <f t="shared" si="161"/>
        <v>0</v>
      </c>
      <c r="Q173" s="77">
        <f t="shared" si="161"/>
        <v>0</v>
      </c>
      <c r="R173" s="77">
        <f t="shared" si="161"/>
        <v>0</v>
      </c>
      <c r="S173" s="77">
        <f t="shared" si="161"/>
        <v>0</v>
      </c>
      <c r="T173" s="77">
        <f t="shared" si="161"/>
        <v>0</v>
      </c>
      <c r="U173" s="77">
        <f t="array" ref="U173">IF(MOD(ROW()-ROW($U$12),3)=2,N(INDEX(U:U,ROW()-2)),0)</f>
        <v>0</v>
      </c>
      <c r="V173" s="77">
        <f>IF(MOD(ROW()-ROW($G$12),3)=2,((INDEX(V:V,ROW()-2)*$AC$4)+(INDEX(V:V,ROW()-1)*$AE$4))/$AD$5,"")</f>
        <v>0</v>
      </c>
      <c r="W173" s="77">
        <f>IF(MOD(ROW()-ROW($G$12),3)=2,((INDEX(W:W,ROW()-2)*$AC$4)+(INDEX(W:W,ROW()-1)*$AE$4))/$AD$5,"")</f>
        <v>0</v>
      </c>
      <c r="X173" s="77">
        <f>IF(MOD(ROW()-ROW($G$12),3)=2,((INDEX(X:X,ROW()-2)*$AC$4)+(INDEX(X:X,ROW()-1)*$AE$4))/$AD$5,"")</f>
        <v>0</v>
      </c>
      <c r="Y173" s="78"/>
      <c r="Z173" s="77"/>
      <c r="AA173" s="56"/>
      <c r="AB173" s="56"/>
      <c r="AC173" s="56"/>
      <c r="AD173" s="56"/>
      <c r="AE173" s="56"/>
    </row>
    <row r="174" spans="1:31" ht="14.5">
      <c r="A174" s="70">
        <f t="shared" ref="A174:A175" si="162">IF(MOD(ROW()-12,3)=0,INT((ROW()-12)/3)+1,"")</f>
        <v>55</v>
      </c>
      <c r="B174" s="70">
        <f t="array" ref="B174">IF(MOD(ROW()-ROW($B$12),3)=0,INDEX(BIODATA!B:B,INT((ROW()-ROW($B$12))/3)+24),"")</f>
        <v>0</v>
      </c>
      <c r="C174" s="70" t="str">
        <f t="array" ref="C174">IF(MOD(ROW()-ROW($B$12),3)=0,INDEX(BIODATA!C:C,INT((ROW()-ROW($B$12))/3)+24),"")</f>
        <v>NIP 19710101 200012 1 007</v>
      </c>
      <c r="D174" s="71">
        <f t="array" ref="D174">IF(MOD(ROW()-ROW($B$12),3)=0,INDEX(BIODATA!D:D,INT((ROW()-ROW($B$12))/3)+24),"")</f>
        <v>0</v>
      </c>
      <c r="E174" s="70" t="str">
        <f t="array" ref="E174">IF(MOD(ROW()-ROW($B$12),3)=0,INDEX(BIODATA!H:H,INT((ROW()-ROW($B$12))/3)+24),"")</f>
        <v>NIP 19761212 199802 2001</v>
      </c>
      <c r="F174" s="72" t="s">
        <v>134</v>
      </c>
      <c r="G174" s="73">
        <f t="array" ref="G174">IF(MOD(ROW()-ROW($G$12),3)=0,INDEX(RR!L:L,INT((ROW()-ROW($G$12))/3)+9),"")</f>
        <v>0</v>
      </c>
      <c r="H174" s="73">
        <f t="array" ref="H174">IF(MOD(ROW()-ROW($H$12),3)=0,INDEX(RR!R:R,INT((ROW()-ROW($H$12))/3)+9),"")</f>
        <v>0</v>
      </c>
      <c r="I174" s="73">
        <f t="array" ref="I174">IF(MOD(ROW()-ROW($I$12),3)=0,INDEX(RR!X:X,INT((ROW()-ROW($I$12))/3)+9),"")</f>
        <v>0</v>
      </c>
      <c r="J174" s="73">
        <f t="array" ref="J174">IF(MOD(ROW()-ROW($I$12),3)=0,INDEX(RR!AC:AC,INT((ROW()-ROW($I$12))/3)+9),"")</f>
        <v>0</v>
      </c>
      <c r="K174" s="73">
        <f t="array" ref="K174">IF(MOD(ROW()-ROW($I$12),3)=0,INDEX(RR!AH:AH,INT((ROW()-ROW($I$12))/3)+9),"")</f>
        <v>0</v>
      </c>
      <c r="L174" s="73">
        <f t="array" ref="L174">IF(MOD(ROW()-ROW($I$12),3)=0,INDEX(RR!AK:AK,INT((ROW()-ROW($I$12))/3)+9),"")</f>
        <v>0</v>
      </c>
      <c r="M174" s="73">
        <f t="array" ref="M174">IF(MOD(ROW()-ROW($I$12),3)=0,INDEX(RR!AQ:AQ,INT((ROW()-ROW($I$12))/3)+9),"")</f>
        <v>0</v>
      </c>
      <c r="N174" s="73">
        <f t="array" ref="N174">IF(MOD(ROW()-ROW($I$12),3)=0,INDEX(RR!AW:AW,INT((ROW()-ROW($I$12))/3)+9),"")</f>
        <v>0</v>
      </c>
      <c r="O174" s="73">
        <f t="array" ref="O174">IF(MOD(ROW()-ROW($I$12),3)=0,INDEX(RR!BB:BB,INT((ROW()-ROW($I$12))/3)+9),"")</f>
        <v>0</v>
      </c>
      <c r="P174" s="73">
        <f t="array" ref="P174">IF(MOD(ROW()-ROW($I$12),3)=0,INDEX(RR!BF:BF,INT((ROW()-ROW($I$12))/3)+9),"")</f>
        <v>0</v>
      </c>
      <c r="Q174" s="73">
        <f t="array" ref="Q174">IF(MOD(ROW()-ROW($I$12),3)=0,INDEX(RR!BI:BI,INT((ROW()-ROW($I$12))/3)+9),"")</f>
        <v>0</v>
      </c>
      <c r="R174" s="73">
        <f t="array" ref="R174">IF(MOD(ROW()-ROW($I$12),3)=0,INDEX(RR!BL:BL,INT((ROW()-ROW($I$12))/3)+9),"")</f>
        <v>0</v>
      </c>
      <c r="S174" s="73">
        <f t="array" ref="S174">IF(MOD(ROW()-ROW($I$12),3)=0,INDEX(RR!BP:BP,INT((ROW()-ROW($I$12))/3)+9),"")</f>
        <v>0</v>
      </c>
      <c r="T174" s="73">
        <f t="array" ref="T174">IF(MOD(ROW()-ROW($I$12),3)=0,INDEX(RR!BT:BT,INT((ROW()-ROW($I$12))/3)+9),"")</f>
        <v>0</v>
      </c>
      <c r="U174" s="73">
        <f t="array" ref="U174">IF(MOD(ROW()-ROW($I$12),3)=0,INDEX(RR!BV:BV,INT((ROW()-ROW($I$12))/3)+9),"")</f>
        <v>0</v>
      </c>
      <c r="V174" s="73">
        <f t="array" ref="V174">IF(MOD(ROW()-ROW($I$12),3)=0,INDEX(RR!BZ:BZ,INT((ROW()-ROW($I$12))/3)+9),"")</f>
        <v>0</v>
      </c>
      <c r="W174" s="73">
        <f t="shared" ref="W174:W175" si="163">IF(MOD(ROW()-ROW($W$12),3)&lt;&gt;2,SUM(G174:V174),"")</f>
        <v>0</v>
      </c>
      <c r="X174" s="73">
        <f>IF(MOD(ROW()-ROW($X$12),3)&lt;&gt;2,ROUND(W174/16,2),"")</f>
        <v>0</v>
      </c>
      <c r="Y174" s="70"/>
      <c r="Z174" s="74" t="str">
        <f t="array" ref="Z174">IF(MOD(ROW()-ROW($Z$12),3)=0,IF(INDEX(X:X,ROW()+2)&gt;=$AC$9,"L","TL"),"")</f>
        <v>TL</v>
      </c>
      <c r="AA174" s="56"/>
      <c r="AB174" s="56"/>
      <c r="AC174" s="56"/>
      <c r="AD174" s="56"/>
      <c r="AE174" s="56"/>
    </row>
    <row r="175" spans="1:31" ht="14.5">
      <c r="A175" s="70" t="str">
        <f t="shared" si="162"/>
        <v/>
      </c>
      <c r="B175" s="70" t="str">
        <f t="array" ref="B175">IF(MOD(ROW()-ROW($B$12),3)=0,INDEX(BIODATA!B:B,INT((ROW()-ROW($B$12))/3)+24),"")</f>
        <v/>
      </c>
      <c r="C175" s="70"/>
      <c r="D175" s="71"/>
      <c r="E175" s="70"/>
      <c r="F175" s="72" t="s">
        <v>105</v>
      </c>
      <c r="G175" s="73">
        <f t="array" ref="G175">IF(MOD(ROW()-ROW($G$12),3)=1,INDEX(PSAJ!F:F,INT((ROW()-ROW($G$12))/3)+8),"")</f>
        <v>0</v>
      </c>
      <c r="H175" s="73">
        <f t="array" ref="H175">IF(MOD(ROW()-ROW($G$12),3)=1,INDEX(PSAJ!G:G,INT((ROW()-ROW($G$12))/3)+8),"")</f>
        <v>0</v>
      </c>
      <c r="I175" s="73">
        <f t="array" ref="I175">IF(MOD(ROW()-ROW($G$12),3)=1,INDEX(PSAJ!H:H,INT((ROW()-ROW($G$12))/3)+8),"")</f>
        <v>0</v>
      </c>
      <c r="J175" s="73">
        <f t="array" ref="J175">IF(MOD(ROW()-ROW($G$12),3)=1,INDEX(PSAJ!I:I,INT((ROW()-ROW($G$12))/3)+8),"")</f>
        <v>0</v>
      </c>
      <c r="K175" s="73">
        <f t="array" ref="K175">IF(MOD(ROW()-ROW($G$12),3)=1,INDEX(PSAJ!J:J,INT((ROW()-ROW($G$12))/3)+8),"")</f>
        <v>0</v>
      </c>
      <c r="L175" s="73">
        <f t="array" ref="L175">IF(MOD(ROW()-ROW($G$12),3)=1,INDEX(PSAJ!K:K,INT((ROW()-ROW($G$12))/3)+8),"")</f>
        <v>0</v>
      </c>
      <c r="M175" s="73">
        <f t="array" ref="M175">IF(MOD(ROW()-ROW($G$12),3)=1,INDEX(PSAJ!L:L,INT((ROW()-ROW($G$12))/3)+8),"")</f>
        <v>0</v>
      </c>
      <c r="N175" s="73">
        <f t="array" ref="N175">IF(MOD(ROW()-ROW($G$12),3)=1,INDEX(PSAJ!M:M,INT((ROW()-ROW($G$12))/3)+8),"")</f>
        <v>0</v>
      </c>
      <c r="O175" s="73">
        <f t="array" ref="O175">IF(MOD(ROW()-ROW($G$12),3)=1,INDEX(PSAJ!N:N,INT((ROW()-ROW($G$12))/3)+8),"")</f>
        <v>0</v>
      </c>
      <c r="P175" s="73">
        <f t="array" ref="P175">IF(MOD(ROW()-ROW($G$12),3)=1,INDEX(PSAJ!O:O,INT((ROW()-ROW($G$12))/3)+8),"")</f>
        <v>0</v>
      </c>
      <c r="Q175" s="73">
        <f t="array" ref="Q175">IF(MOD(ROW()-ROW($G$12),3)=1,INDEX(PSAJ!P:P,INT((ROW()-ROW($G$12))/3)+8),"")</f>
        <v>0</v>
      </c>
      <c r="R175" s="73">
        <f t="array" ref="R175">IF(MOD(ROW()-ROW($G$12),3)=1,INDEX(PSAJ!Q:Q,INT((ROW()-ROW($G$12))/3)+8),"")</f>
        <v>0</v>
      </c>
      <c r="S175" s="73">
        <f t="array" ref="S175">IF(MOD(ROW()-ROW($G$12),3)=1,INDEX(PSAJ!R:R,INT((ROW()-ROW($G$12))/3)+8),"")</f>
        <v>0</v>
      </c>
      <c r="T175" s="73">
        <f t="array" ref="T175">IF(MOD(ROW()-ROW($G$12),3)=1,INDEX(PSAJ!S:S,INT((ROW()-ROW($G$12))/3)+8),"")</f>
        <v>0</v>
      </c>
      <c r="U175" s="73">
        <v>0</v>
      </c>
      <c r="V175" s="73">
        <f t="array" ref="V175">IF(MOD(ROW()-ROW($G$12),3)=1,INDEX(PSAJ!T:T,INT((ROW()-ROW($G$12))/3)+8),"")</f>
        <v>0</v>
      </c>
      <c r="W175" s="73">
        <f t="shared" si="163"/>
        <v>0</v>
      </c>
      <c r="X175" s="73">
        <f>IF(MOD(ROW()-ROW($X$12),3)&lt;&gt;2,ROUND(W175/15,2),"")</f>
        <v>0</v>
      </c>
      <c r="Y175" s="70"/>
      <c r="Z175" s="75"/>
      <c r="AA175" s="56"/>
      <c r="AB175" s="56"/>
      <c r="AC175" s="56"/>
      <c r="AD175" s="56"/>
      <c r="AE175" s="56"/>
    </row>
    <row r="176" spans="1:31" ht="14.5">
      <c r="A176" s="70"/>
      <c r="B176" s="70"/>
      <c r="C176" s="70"/>
      <c r="D176" s="71"/>
      <c r="E176" s="70"/>
      <c r="F176" s="76" t="s">
        <v>135</v>
      </c>
      <c r="G176" s="77">
        <f t="shared" ref="G176:T176" si="164">IF(MOD(ROW()-ROW($G$12),3)=2,((INDEX(G:G,ROW()-2)*$AC$4)+(INDEX(G:G,ROW()-1)*$AE$4))/$AD$5,"")</f>
        <v>0</v>
      </c>
      <c r="H176" s="77">
        <f t="shared" si="164"/>
        <v>0</v>
      </c>
      <c r="I176" s="77">
        <f t="shared" si="164"/>
        <v>0</v>
      </c>
      <c r="J176" s="77">
        <f t="shared" si="164"/>
        <v>0</v>
      </c>
      <c r="K176" s="77">
        <f t="shared" si="164"/>
        <v>0</v>
      </c>
      <c r="L176" s="77">
        <f t="shared" si="164"/>
        <v>0</v>
      </c>
      <c r="M176" s="77">
        <f t="shared" si="164"/>
        <v>0</v>
      </c>
      <c r="N176" s="77">
        <f t="shared" si="164"/>
        <v>0</v>
      </c>
      <c r="O176" s="77">
        <f t="shared" si="164"/>
        <v>0</v>
      </c>
      <c r="P176" s="77">
        <f t="shared" si="164"/>
        <v>0</v>
      </c>
      <c r="Q176" s="77">
        <f t="shared" si="164"/>
        <v>0</v>
      </c>
      <c r="R176" s="77">
        <f t="shared" si="164"/>
        <v>0</v>
      </c>
      <c r="S176" s="77">
        <f t="shared" si="164"/>
        <v>0</v>
      </c>
      <c r="T176" s="77">
        <f t="shared" si="164"/>
        <v>0</v>
      </c>
      <c r="U176" s="77">
        <f t="array" ref="U176">IF(MOD(ROW()-ROW($U$12),3)=2,N(INDEX(U:U,ROW()-2)),0)</f>
        <v>0</v>
      </c>
      <c r="V176" s="77">
        <f>IF(MOD(ROW()-ROW($G$12),3)=2,((INDEX(V:V,ROW()-2)*$AC$4)+(INDEX(V:V,ROW()-1)*$AE$4))/$AD$5,"")</f>
        <v>0</v>
      </c>
      <c r="W176" s="77">
        <f>IF(MOD(ROW()-ROW($G$12),3)=2,((INDEX(W:W,ROW()-2)*$AC$4)+(INDEX(W:W,ROW()-1)*$AE$4))/$AD$5,"")</f>
        <v>0</v>
      </c>
      <c r="X176" s="77">
        <f>IF(MOD(ROW()-ROW($G$12),3)=2,((INDEX(X:X,ROW()-2)*$AC$4)+(INDEX(X:X,ROW()-1)*$AE$4))/$AD$5,"")</f>
        <v>0</v>
      </c>
      <c r="Y176" s="78"/>
      <c r="Z176" s="77"/>
      <c r="AA176" s="56"/>
      <c r="AB176" s="56"/>
      <c r="AC176" s="56"/>
      <c r="AD176" s="56"/>
      <c r="AE176" s="56"/>
    </row>
    <row r="177" spans="1:31" ht="14.5">
      <c r="A177" s="70">
        <f t="shared" ref="A177:A178" si="165">IF(MOD(ROW()-12,3)=0,INT((ROW()-12)/3)+1,"")</f>
        <v>56</v>
      </c>
      <c r="B177" s="70">
        <f t="array" ref="B177">IF(MOD(ROW()-ROW($B$12),3)=0,INDEX(BIODATA!B:B,INT((ROW()-ROW($B$12))/3)+24),"")</f>
        <v>0</v>
      </c>
      <c r="C177" s="70">
        <f t="array" ref="C177">IF(MOD(ROW()-ROW($B$12),3)=0,INDEX(BIODATA!C:C,INT((ROW()-ROW($B$12))/3)+24),"")</f>
        <v>0</v>
      </c>
      <c r="D177" s="71">
        <f t="array" ref="D177">IF(MOD(ROW()-ROW($B$12),3)=0,INDEX(BIODATA!D:D,INT((ROW()-ROW($B$12))/3)+24),"")</f>
        <v>0</v>
      </c>
      <c r="E177" s="70">
        <f t="array" ref="E177">IF(MOD(ROW()-ROW($B$12),3)=0,INDEX(BIODATA!H:H,INT((ROW()-ROW($B$12))/3)+24),"")</f>
        <v>0</v>
      </c>
      <c r="F177" s="72" t="s">
        <v>134</v>
      </c>
      <c r="G177" s="73">
        <f t="array" ref="G177">IF(MOD(ROW()-ROW($G$12),3)=0,INDEX(RR!L:L,INT((ROW()-ROW($G$12))/3)+9),"")</f>
        <v>0</v>
      </c>
      <c r="H177" s="73">
        <f t="array" ref="H177">IF(MOD(ROW()-ROW($H$12),3)=0,INDEX(RR!R:R,INT((ROW()-ROW($H$12))/3)+9),"")</f>
        <v>0</v>
      </c>
      <c r="I177" s="73">
        <f t="array" ref="I177">IF(MOD(ROW()-ROW($I$12),3)=0,INDEX(RR!X:X,INT((ROW()-ROW($I$12))/3)+9),"")</f>
        <v>0</v>
      </c>
      <c r="J177" s="73">
        <f t="array" ref="J177">IF(MOD(ROW()-ROW($I$12),3)=0,INDEX(RR!AC:AC,INT((ROW()-ROW($I$12))/3)+9),"")</f>
        <v>0</v>
      </c>
      <c r="K177" s="73">
        <f t="array" ref="K177">IF(MOD(ROW()-ROW($I$12),3)=0,INDEX(RR!AH:AH,INT((ROW()-ROW($I$12))/3)+9),"")</f>
        <v>0</v>
      </c>
      <c r="L177" s="73">
        <f t="array" ref="L177">IF(MOD(ROW()-ROW($I$12),3)=0,INDEX(RR!AK:AK,INT((ROW()-ROW($I$12))/3)+9),"")</f>
        <v>0</v>
      </c>
      <c r="M177" s="73">
        <f t="array" ref="M177">IF(MOD(ROW()-ROW($I$12),3)=0,INDEX(RR!AQ:AQ,INT((ROW()-ROW($I$12))/3)+9),"")</f>
        <v>0</v>
      </c>
      <c r="N177" s="73">
        <f t="array" ref="N177">IF(MOD(ROW()-ROW($I$12),3)=0,INDEX(RR!AW:AW,INT((ROW()-ROW($I$12))/3)+9),"")</f>
        <v>0</v>
      </c>
      <c r="O177" s="73">
        <f t="array" ref="O177">IF(MOD(ROW()-ROW($I$12),3)=0,INDEX(RR!BB:BB,INT((ROW()-ROW($I$12))/3)+9),"")</f>
        <v>0</v>
      </c>
      <c r="P177" s="73">
        <f t="array" ref="P177">IF(MOD(ROW()-ROW($I$12),3)=0,INDEX(RR!BF:BF,INT((ROW()-ROW($I$12))/3)+9),"")</f>
        <v>0</v>
      </c>
      <c r="Q177" s="73">
        <f t="array" ref="Q177">IF(MOD(ROW()-ROW($I$12),3)=0,INDEX(RR!BI:BI,INT((ROW()-ROW($I$12))/3)+9),"")</f>
        <v>0</v>
      </c>
      <c r="R177" s="73">
        <f t="array" ref="R177">IF(MOD(ROW()-ROW($I$12),3)=0,INDEX(RR!BL:BL,INT((ROW()-ROW($I$12))/3)+9),"")</f>
        <v>0</v>
      </c>
      <c r="S177" s="73">
        <f t="array" ref="S177">IF(MOD(ROW()-ROW($I$12),3)=0,INDEX(RR!BP:BP,INT((ROW()-ROW($I$12))/3)+9),"")</f>
        <v>0</v>
      </c>
      <c r="T177" s="73">
        <f t="array" ref="T177">IF(MOD(ROW()-ROW($I$12),3)=0,INDEX(RR!BT:BT,INT((ROW()-ROW($I$12))/3)+9),"")</f>
        <v>0</v>
      </c>
      <c r="U177" s="73">
        <f t="array" ref="U177">IF(MOD(ROW()-ROW($I$12),3)=0,INDEX(RR!BV:BV,INT((ROW()-ROW($I$12))/3)+9),"")</f>
        <v>0</v>
      </c>
      <c r="V177" s="73">
        <f t="array" ref="V177">IF(MOD(ROW()-ROW($I$12),3)=0,INDEX(RR!BZ:BZ,INT((ROW()-ROW($I$12))/3)+9),"")</f>
        <v>0</v>
      </c>
      <c r="W177" s="73">
        <f t="shared" ref="W177:W178" si="166">IF(MOD(ROW()-ROW($W$12),3)&lt;&gt;2,SUM(G177:V177),"")</f>
        <v>0</v>
      </c>
      <c r="X177" s="73">
        <f>IF(MOD(ROW()-ROW($X$12),3)&lt;&gt;2,ROUND(W177/16,2),"")</f>
        <v>0</v>
      </c>
      <c r="Y177" s="70"/>
      <c r="Z177" s="74" t="str">
        <f t="array" ref="Z177">IF(MOD(ROW()-ROW($Z$12),3)=0,IF(INDEX(X:X,ROW()+2)&gt;=$AC$9,"L","TL"),"")</f>
        <v>TL</v>
      </c>
      <c r="AA177" s="56"/>
      <c r="AB177" s="56"/>
      <c r="AC177" s="56"/>
      <c r="AD177" s="56"/>
      <c r="AE177" s="56"/>
    </row>
    <row r="178" spans="1:31" ht="14.5">
      <c r="A178" s="70" t="str">
        <f t="shared" si="165"/>
        <v/>
      </c>
      <c r="B178" s="70" t="str">
        <f t="array" ref="B178">IF(MOD(ROW()-ROW($B$12),3)=0,INDEX(BIODATA!B:B,INT((ROW()-ROW($B$12))/3)+24),"")</f>
        <v/>
      </c>
      <c r="C178" s="70"/>
      <c r="D178" s="71"/>
      <c r="E178" s="70"/>
      <c r="F178" s="72" t="s">
        <v>105</v>
      </c>
      <c r="G178" s="73">
        <f t="array" ref="G178">IF(MOD(ROW()-ROW($G$12),3)=1,INDEX(PSAJ!F:F,INT((ROW()-ROW($G$12))/3)+8),"")</f>
        <v>0</v>
      </c>
      <c r="H178" s="73">
        <f t="array" ref="H178">IF(MOD(ROW()-ROW($G$12),3)=1,INDEX(PSAJ!G:G,INT((ROW()-ROW($G$12))/3)+8),"")</f>
        <v>0</v>
      </c>
      <c r="I178" s="73">
        <f t="array" ref="I178">IF(MOD(ROW()-ROW($G$12),3)=1,INDEX(PSAJ!H:H,INT((ROW()-ROW($G$12))/3)+8),"")</f>
        <v>0</v>
      </c>
      <c r="J178" s="73">
        <f t="array" ref="J178">IF(MOD(ROW()-ROW($G$12),3)=1,INDEX(PSAJ!I:I,INT((ROW()-ROW($G$12))/3)+8),"")</f>
        <v>0</v>
      </c>
      <c r="K178" s="73">
        <f t="array" ref="K178">IF(MOD(ROW()-ROW($G$12),3)=1,INDEX(PSAJ!J:J,INT((ROW()-ROW($G$12))/3)+8),"")</f>
        <v>0</v>
      </c>
      <c r="L178" s="73">
        <f t="array" ref="L178">IF(MOD(ROW()-ROW($G$12),3)=1,INDEX(PSAJ!K:K,INT((ROW()-ROW($G$12))/3)+8),"")</f>
        <v>0</v>
      </c>
      <c r="M178" s="73">
        <f t="array" ref="M178">IF(MOD(ROW()-ROW($G$12),3)=1,INDEX(PSAJ!L:L,INT((ROW()-ROW($G$12))/3)+8),"")</f>
        <v>0</v>
      </c>
      <c r="N178" s="73">
        <f t="array" ref="N178">IF(MOD(ROW()-ROW($G$12),3)=1,INDEX(PSAJ!M:M,INT((ROW()-ROW($G$12))/3)+8),"")</f>
        <v>0</v>
      </c>
      <c r="O178" s="73">
        <f t="array" ref="O178">IF(MOD(ROW()-ROW($G$12),3)=1,INDEX(PSAJ!N:N,INT((ROW()-ROW($G$12))/3)+8),"")</f>
        <v>0</v>
      </c>
      <c r="P178" s="73">
        <f t="array" ref="P178">IF(MOD(ROW()-ROW($G$12),3)=1,INDEX(PSAJ!O:O,INT((ROW()-ROW($G$12))/3)+8),"")</f>
        <v>0</v>
      </c>
      <c r="Q178" s="73">
        <f t="array" ref="Q178">IF(MOD(ROW()-ROW($G$12),3)=1,INDEX(PSAJ!P:P,INT((ROW()-ROW($G$12))/3)+8),"")</f>
        <v>0</v>
      </c>
      <c r="R178" s="73">
        <f t="array" ref="R178">IF(MOD(ROW()-ROW($G$12),3)=1,INDEX(PSAJ!Q:Q,INT((ROW()-ROW($G$12))/3)+8),"")</f>
        <v>0</v>
      </c>
      <c r="S178" s="73">
        <f t="array" ref="S178">IF(MOD(ROW()-ROW($G$12),3)=1,INDEX(PSAJ!R:R,INT((ROW()-ROW($G$12))/3)+8),"")</f>
        <v>0</v>
      </c>
      <c r="T178" s="73">
        <f t="array" ref="T178">IF(MOD(ROW()-ROW($G$12),3)=1,INDEX(PSAJ!S:S,INT((ROW()-ROW($G$12))/3)+8),"")</f>
        <v>0</v>
      </c>
      <c r="U178" s="73">
        <v>0</v>
      </c>
      <c r="V178" s="73">
        <f t="array" ref="V178">IF(MOD(ROW()-ROW($G$12),3)=1,INDEX(PSAJ!T:T,INT((ROW()-ROW($G$12))/3)+8),"")</f>
        <v>0</v>
      </c>
      <c r="W178" s="73">
        <f t="shared" si="166"/>
        <v>0</v>
      </c>
      <c r="X178" s="73">
        <f>IF(MOD(ROW()-ROW($X$12),3)&lt;&gt;2,ROUND(W178/15,2),"")</f>
        <v>0</v>
      </c>
      <c r="Y178" s="70"/>
      <c r="Z178" s="75"/>
      <c r="AA178" s="56"/>
      <c r="AB178" s="56"/>
      <c r="AC178" s="56"/>
      <c r="AD178" s="56"/>
      <c r="AE178" s="56"/>
    </row>
    <row r="179" spans="1:31" ht="14.5">
      <c r="A179" s="70"/>
      <c r="B179" s="70"/>
      <c r="C179" s="70"/>
      <c r="D179" s="71"/>
      <c r="E179" s="70"/>
      <c r="F179" s="76" t="s">
        <v>135</v>
      </c>
      <c r="G179" s="77">
        <f t="shared" ref="G179:T179" si="167">IF(MOD(ROW()-ROW($G$12),3)=2,((INDEX(G:G,ROW()-2)*$AC$4)+(INDEX(G:G,ROW()-1)*$AE$4))/$AD$5,"")</f>
        <v>0</v>
      </c>
      <c r="H179" s="77">
        <f t="shared" si="167"/>
        <v>0</v>
      </c>
      <c r="I179" s="77">
        <f t="shared" si="167"/>
        <v>0</v>
      </c>
      <c r="J179" s="77">
        <f t="shared" si="167"/>
        <v>0</v>
      </c>
      <c r="K179" s="77">
        <f t="shared" si="167"/>
        <v>0</v>
      </c>
      <c r="L179" s="77">
        <f t="shared" si="167"/>
        <v>0</v>
      </c>
      <c r="M179" s="77">
        <f t="shared" si="167"/>
        <v>0</v>
      </c>
      <c r="N179" s="77">
        <f t="shared" si="167"/>
        <v>0</v>
      </c>
      <c r="O179" s="77">
        <f t="shared" si="167"/>
        <v>0</v>
      </c>
      <c r="P179" s="77">
        <f t="shared" si="167"/>
        <v>0</v>
      </c>
      <c r="Q179" s="77">
        <f t="shared" si="167"/>
        <v>0</v>
      </c>
      <c r="R179" s="77">
        <f t="shared" si="167"/>
        <v>0</v>
      </c>
      <c r="S179" s="77">
        <f t="shared" si="167"/>
        <v>0</v>
      </c>
      <c r="T179" s="77">
        <f t="shared" si="167"/>
        <v>0</v>
      </c>
      <c r="U179" s="77">
        <f t="array" ref="U179">IF(MOD(ROW()-ROW($U$12),3)=2,N(INDEX(U:U,ROW()-2)),0)</f>
        <v>0</v>
      </c>
      <c r="V179" s="77">
        <f>IF(MOD(ROW()-ROW($G$12),3)=2,((INDEX(V:V,ROW()-2)*$AC$4)+(INDEX(V:V,ROW()-1)*$AE$4))/$AD$5,"")</f>
        <v>0</v>
      </c>
      <c r="W179" s="77">
        <f>IF(MOD(ROW()-ROW($G$12),3)=2,((INDEX(W:W,ROW()-2)*$AC$4)+(INDEX(W:W,ROW()-1)*$AE$4))/$AD$5,"")</f>
        <v>0</v>
      </c>
      <c r="X179" s="77">
        <f>IF(MOD(ROW()-ROW($G$12),3)=2,((INDEX(X:X,ROW()-2)*$AC$4)+(INDEX(X:X,ROW()-1)*$AE$4))/$AD$5,"")</f>
        <v>0</v>
      </c>
      <c r="Y179" s="78"/>
      <c r="Z179" s="77"/>
      <c r="AA179" s="56"/>
      <c r="AB179" s="56"/>
      <c r="AC179" s="56"/>
      <c r="AD179" s="56"/>
      <c r="AE179" s="56"/>
    </row>
    <row r="180" spans="1:31" ht="14.5">
      <c r="A180" s="70">
        <f t="shared" ref="A180:A181" si="168">IF(MOD(ROW()-12,3)=0,INT((ROW()-12)/3)+1,"")</f>
        <v>57</v>
      </c>
      <c r="B180" s="70">
        <f t="array" ref="B180">IF(MOD(ROW()-ROW($B$12),3)=0,INDEX(BIODATA!B:B,INT((ROW()-ROW($B$12))/3)+24),"")</f>
        <v>0</v>
      </c>
      <c r="C180" s="70">
        <f t="array" ref="C180">IF(MOD(ROW()-ROW($B$12),3)=0,INDEX(BIODATA!C:C,INT((ROW()-ROW($B$12))/3)+24),"")</f>
        <v>0</v>
      </c>
      <c r="D180" s="71">
        <f t="array" ref="D180">IF(MOD(ROW()-ROW($B$12),3)=0,INDEX(BIODATA!D:D,INT((ROW()-ROW($B$12))/3)+24),"")</f>
        <v>0</v>
      </c>
      <c r="E180" s="70">
        <f t="array" ref="E180">IF(MOD(ROW()-ROW($B$12),3)=0,INDEX(BIODATA!H:H,INT((ROW()-ROW($B$12))/3)+24),"")</f>
        <v>0</v>
      </c>
      <c r="F180" s="72" t="s">
        <v>134</v>
      </c>
      <c r="G180" s="73">
        <f t="array" ref="G180">IF(MOD(ROW()-ROW($G$12),3)=0,INDEX(RR!L:L,INT((ROW()-ROW($G$12))/3)+9),"")</f>
        <v>0</v>
      </c>
      <c r="H180" s="73">
        <f t="array" ref="H180">IF(MOD(ROW()-ROW($H$12),3)=0,INDEX(RR!R:R,INT((ROW()-ROW($H$12))/3)+9),"")</f>
        <v>0</v>
      </c>
      <c r="I180" s="73">
        <f t="array" ref="I180">IF(MOD(ROW()-ROW($I$12),3)=0,INDEX(RR!X:X,INT((ROW()-ROW($I$12))/3)+9),"")</f>
        <v>0</v>
      </c>
      <c r="J180" s="73">
        <f t="array" ref="J180">IF(MOD(ROW()-ROW($I$12),3)=0,INDEX(RR!AC:AC,INT((ROW()-ROW($I$12))/3)+9),"")</f>
        <v>0</v>
      </c>
      <c r="K180" s="73">
        <f t="array" ref="K180">IF(MOD(ROW()-ROW($I$12),3)=0,INDEX(RR!AH:AH,INT((ROW()-ROW($I$12))/3)+9),"")</f>
        <v>0</v>
      </c>
      <c r="L180" s="73">
        <f t="array" ref="L180">IF(MOD(ROW()-ROW($I$12),3)=0,INDEX(RR!AK:AK,INT((ROW()-ROW($I$12))/3)+9),"")</f>
        <v>0</v>
      </c>
      <c r="M180" s="73">
        <f t="array" ref="M180">IF(MOD(ROW()-ROW($I$12),3)=0,INDEX(RR!AQ:AQ,INT((ROW()-ROW($I$12))/3)+9),"")</f>
        <v>0</v>
      </c>
      <c r="N180" s="73">
        <f t="array" ref="N180">IF(MOD(ROW()-ROW($I$12),3)=0,INDEX(RR!AW:AW,INT((ROW()-ROW($I$12))/3)+9),"")</f>
        <v>0</v>
      </c>
      <c r="O180" s="73">
        <f t="array" ref="O180">IF(MOD(ROW()-ROW($I$12),3)=0,INDEX(RR!BB:BB,INT((ROW()-ROW($I$12))/3)+9),"")</f>
        <v>0</v>
      </c>
      <c r="P180" s="73">
        <f t="array" ref="P180">IF(MOD(ROW()-ROW($I$12),3)=0,INDEX(RR!BF:BF,INT((ROW()-ROW($I$12))/3)+9),"")</f>
        <v>0</v>
      </c>
      <c r="Q180" s="73">
        <f t="array" ref="Q180">IF(MOD(ROW()-ROW($I$12),3)=0,INDEX(RR!BI:BI,INT((ROW()-ROW($I$12))/3)+9),"")</f>
        <v>0</v>
      </c>
      <c r="R180" s="73">
        <f t="array" ref="R180">IF(MOD(ROW()-ROW($I$12),3)=0,INDEX(RR!BL:BL,INT((ROW()-ROW($I$12))/3)+9),"")</f>
        <v>0</v>
      </c>
      <c r="S180" s="73">
        <f t="array" ref="S180">IF(MOD(ROW()-ROW($I$12),3)=0,INDEX(RR!BP:BP,INT((ROW()-ROW($I$12))/3)+9),"")</f>
        <v>0</v>
      </c>
      <c r="T180" s="73">
        <f t="array" ref="T180">IF(MOD(ROW()-ROW($I$12),3)=0,INDEX(RR!BT:BT,INT((ROW()-ROW($I$12))/3)+9),"")</f>
        <v>0</v>
      </c>
      <c r="U180" s="73">
        <f t="array" ref="U180">IF(MOD(ROW()-ROW($I$12),3)=0,INDEX(RR!BV:BV,INT((ROW()-ROW($I$12))/3)+9),"")</f>
        <v>0</v>
      </c>
      <c r="V180" s="73">
        <f t="array" ref="V180">IF(MOD(ROW()-ROW($I$12),3)=0,INDEX(RR!BZ:BZ,INT((ROW()-ROW($I$12))/3)+9),"")</f>
        <v>0</v>
      </c>
      <c r="W180" s="73">
        <f t="shared" ref="W180:W181" si="169">IF(MOD(ROW()-ROW($W$12),3)&lt;&gt;2,SUM(G180:V180),"")</f>
        <v>0</v>
      </c>
      <c r="X180" s="73">
        <f>IF(MOD(ROW()-ROW($X$12),3)&lt;&gt;2,ROUND(W180/16,2),"")</f>
        <v>0</v>
      </c>
      <c r="Y180" s="70"/>
      <c r="Z180" s="74" t="str">
        <f t="array" ref="Z180">IF(MOD(ROW()-ROW($Z$12),3)=0,IF(INDEX(X:X,ROW()+2)&gt;=$AC$9,"L","TL"),"")</f>
        <v>TL</v>
      </c>
      <c r="AA180" s="56"/>
      <c r="AB180" s="56"/>
      <c r="AC180" s="56"/>
      <c r="AD180" s="56"/>
      <c r="AE180" s="56"/>
    </row>
    <row r="181" spans="1:31" ht="14.5">
      <c r="A181" s="70" t="str">
        <f t="shared" si="168"/>
        <v/>
      </c>
      <c r="B181" s="70" t="str">
        <f t="array" ref="B181">IF(MOD(ROW()-ROW($B$12),3)=0,INDEX(BIODATA!B:B,INT((ROW()-ROW($B$12))/3)+24),"")</f>
        <v/>
      </c>
      <c r="C181" s="70"/>
      <c r="D181" s="71"/>
      <c r="E181" s="70"/>
      <c r="F181" s="72" t="s">
        <v>105</v>
      </c>
      <c r="G181" s="73">
        <f t="array" ref="G181">IF(MOD(ROW()-ROW($G$12),3)=1,INDEX(PSAJ!F:F,INT((ROW()-ROW($G$12))/3)+8),"")</f>
        <v>0</v>
      </c>
      <c r="H181" s="73">
        <f t="array" ref="H181">IF(MOD(ROW()-ROW($G$12),3)=1,INDEX(PSAJ!G:G,INT((ROW()-ROW($G$12))/3)+8),"")</f>
        <v>0</v>
      </c>
      <c r="I181" s="73">
        <f t="array" ref="I181">IF(MOD(ROW()-ROW($G$12),3)=1,INDEX(PSAJ!H:H,INT((ROW()-ROW($G$12))/3)+8),"")</f>
        <v>0</v>
      </c>
      <c r="J181" s="73">
        <f t="array" ref="J181">IF(MOD(ROW()-ROW($G$12),3)=1,INDEX(PSAJ!I:I,INT((ROW()-ROW($G$12))/3)+8),"")</f>
        <v>0</v>
      </c>
      <c r="K181" s="73">
        <f t="array" ref="K181">IF(MOD(ROW()-ROW($G$12),3)=1,INDEX(PSAJ!J:J,INT((ROW()-ROW($G$12))/3)+8),"")</f>
        <v>0</v>
      </c>
      <c r="L181" s="73">
        <f t="array" ref="L181">IF(MOD(ROW()-ROW($G$12),3)=1,INDEX(PSAJ!K:K,INT((ROW()-ROW($G$12))/3)+8),"")</f>
        <v>0</v>
      </c>
      <c r="M181" s="73">
        <f t="array" ref="M181">IF(MOD(ROW()-ROW($G$12),3)=1,INDEX(PSAJ!L:L,INT((ROW()-ROW($G$12))/3)+8),"")</f>
        <v>0</v>
      </c>
      <c r="N181" s="73">
        <f t="array" ref="N181">IF(MOD(ROW()-ROW($G$12),3)=1,INDEX(PSAJ!M:M,INT((ROW()-ROW($G$12))/3)+8),"")</f>
        <v>0</v>
      </c>
      <c r="O181" s="73">
        <f t="array" ref="O181">IF(MOD(ROW()-ROW($G$12),3)=1,INDEX(PSAJ!N:N,INT((ROW()-ROW($G$12))/3)+8),"")</f>
        <v>0</v>
      </c>
      <c r="P181" s="73">
        <f t="array" ref="P181">IF(MOD(ROW()-ROW($G$12),3)=1,INDEX(PSAJ!O:O,INT((ROW()-ROW($G$12))/3)+8),"")</f>
        <v>0</v>
      </c>
      <c r="Q181" s="73">
        <f t="array" ref="Q181">IF(MOD(ROW()-ROW($G$12),3)=1,INDEX(PSAJ!P:P,INT((ROW()-ROW($G$12))/3)+8),"")</f>
        <v>0</v>
      </c>
      <c r="R181" s="73">
        <f t="array" ref="R181">IF(MOD(ROW()-ROW($G$12),3)=1,INDEX(PSAJ!Q:Q,INT((ROW()-ROW($G$12))/3)+8),"")</f>
        <v>0</v>
      </c>
      <c r="S181" s="73">
        <f t="array" ref="S181">IF(MOD(ROW()-ROW($G$12),3)=1,INDEX(PSAJ!R:R,INT((ROW()-ROW($G$12))/3)+8),"")</f>
        <v>0</v>
      </c>
      <c r="T181" s="73">
        <f t="array" ref="T181">IF(MOD(ROW()-ROW($G$12),3)=1,INDEX(PSAJ!S:S,INT((ROW()-ROW($G$12))/3)+8),"")</f>
        <v>0</v>
      </c>
      <c r="U181" s="73">
        <v>0</v>
      </c>
      <c r="V181" s="73">
        <f t="array" ref="V181">IF(MOD(ROW()-ROW($G$12),3)=1,INDEX(PSAJ!T:T,INT((ROW()-ROW($G$12))/3)+8),"")</f>
        <v>0</v>
      </c>
      <c r="W181" s="73">
        <f t="shared" si="169"/>
        <v>0</v>
      </c>
      <c r="X181" s="73">
        <f>IF(MOD(ROW()-ROW($X$12),3)&lt;&gt;2,ROUND(W181/15,2),"")</f>
        <v>0</v>
      </c>
      <c r="Y181" s="70"/>
      <c r="Z181" s="75"/>
      <c r="AA181" s="56"/>
      <c r="AB181" s="56"/>
      <c r="AC181" s="56"/>
      <c r="AD181" s="56"/>
      <c r="AE181" s="56"/>
    </row>
    <row r="182" spans="1:31" ht="14.5">
      <c r="A182" s="70"/>
      <c r="B182" s="70"/>
      <c r="C182" s="70"/>
      <c r="D182" s="71"/>
      <c r="E182" s="70"/>
      <c r="F182" s="76" t="s">
        <v>135</v>
      </c>
      <c r="G182" s="77">
        <f t="shared" ref="G182:T182" si="170">IF(MOD(ROW()-ROW($G$12),3)=2,((INDEX(G:G,ROW()-2)*$AC$4)+(INDEX(G:G,ROW()-1)*$AE$4))/$AD$5,"")</f>
        <v>0</v>
      </c>
      <c r="H182" s="77">
        <f t="shared" si="170"/>
        <v>0</v>
      </c>
      <c r="I182" s="77">
        <f t="shared" si="170"/>
        <v>0</v>
      </c>
      <c r="J182" s="77">
        <f t="shared" si="170"/>
        <v>0</v>
      </c>
      <c r="K182" s="77">
        <f t="shared" si="170"/>
        <v>0</v>
      </c>
      <c r="L182" s="77">
        <f t="shared" si="170"/>
        <v>0</v>
      </c>
      <c r="M182" s="77">
        <f t="shared" si="170"/>
        <v>0</v>
      </c>
      <c r="N182" s="77">
        <f t="shared" si="170"/>
        <v>0</v>
      </c>
      <c r="O182" s="77">
        <f t="shared" si="170"/>
        <v>0</v>
      </c>
      <c r="P182" s="77">
        <f t="shared" si="170"/>
        <v>0</v>
      </c>
      <c r="Q182" s="77">
        <f t="shared" si="170"/>
        <v>0</v>
      </c>
      <c r="R182" s="77">
        <f t="shared" si="170"/>
        <v>0</v>
      </c>
      <c r="S182" s="77">
        <f t="shared" si="170"/>
        <v>0</v>
      </c>
      <c r="T182" s="77">
        <f t="shared" si="170"/>
        <v>0</v>
      </c>
      <c r="U182" s="77">
        <f t="array" ref="U182">IF(MOD(ROW()-ROW($U$12),3)=2,N(INDEX(U:U,ROW()-2)),0)</f>
        <v>0</v>
      </c>
      <c r="V182" s="77">
        <f>IF(MOD(ROW()-ROW($G$12),3)=2,((INDEX(V:V,ROW()-2)*$AC$4)+(INDEX(V:V,ROW()-1)*$AE$4))/$AD$5,"")</f>
        <v>0</v>
      </c>
      <c r="W182" s="77">
        <f>IF(MOD(ROW()-ROW($G$12),3)=2,((INDEX(W:W,ROW()-2)*$AC$4)+(INDEX(W:W,ROW()-1)*$AE$4))/$AD$5,"")</f>
        <v>0</v>
      </c>
      <c r="X182" s="77">
        <f>IF(MOD(ROW()-ROW($G$12),3)=2,((INDEX(X:X,ROW()-2)*$AC$4)+(INDEX(X:X,ROW()-1)*$AE$4))/$AD$5,"")</f>
        <v>0</v>
      </c>
      <c r="Y182" s="78"/>
      <c r="Z182" s="77"/>
      <c r="AA182" s="56"/>
      <c r="AB182" s="56"/>
      <c r="AC182" s="56"/>
      <c r="AD182" s="56"/>
      <c r="AE182" s="56"/>
    </row>
    <row r="183" spans="1:31" ht="14.5">
      <c r="A183" s="70">
        <f t="shared" ref="A183:A184" si="171">IF(MOD(ROW()-12,3)=0,INT((ROW()-12)/3)+1,"")</f>
        <v>58</v>
      </c>
      <c r="B183" s="70">
        <f t="array" ref="B183">IF(MOD(ROW()-ROW($B$12),3)=0,INDEX(BIODATA!B:B,INT((ROW()-ROW($B$12))/3)+24),"")</f>
        <v>0</v>
      </c>
      <c r="C183" s="70">
        <f t="array" ref="C183">IF(MOD(ROW()-ROW($B$12),3)=0,INDEX(BIODATA!C:C,INT((ROW()-ROW($B$12))/3)+24),"")</f>
        <v>0</v>
      </c>
      <c r="D183" s="71">
        <f t="array" ref="D183">IF(MOD(ROW()-ROW($B$12),3)=0,INDEX(BIODATA!D:D,INT((ROW()-ROW($B$12))/3)+24),"")</f>
        <v>0</v>
      </c>
      <c r="E183" s="70">
        <f t="array" ref="E183">IF(MOD(ROW()-ROW($B$12),3)=0,INDEX(BIODATA!H:H,INT((ROW()-ROW($B$12))/3)+24),"")</f>
        <v>0</v>
      </c>
      <c r="F183" s="72" t="s">
        <v>134</v>
      </c>
      <c r="G183" s="73">
        <f t="array" ref="G183">IF(MOD(ROW()-ROW($G$12),3)=0,INDEX(RR!L:L,INT((ROW()-ROW($G$12))/3)+9),"")</f>
        <v>0</v>
      </c>
      <c r="H183" s="73">
        <f t="array" ref="H183">IF(MOD(ROW()-ROW($H$12),3)=0,INDEX(RR!R:R,INT((ROW()-ROW($H$12))/3)+9),"")</f>
        <v>0</v>
      </c>
      <c r="I183" s="73">
        <f t="array" ref="I183">IF(MOD(ROW()-ROW($I$12),3)=0,INDEX(RR!X:X,INT((ROW()-ROW($I$12))/3)+9),"")</f>
        <v>0</v>
      </c>
      <c r="J183" s="73">
        <f t="array" ref="J183">IF(MOD(ROW()-ROW($I$12),3)=0,INDEX(RR!AC:AC,INT((ROW()-ROW($I$12))/3)+9),"")</f>
        <v>0</v>
      </c>
      <c r="K183" s="73">
        <f t="array" ref="K183">IF(MOD(ROW()-ROW($I$12),3)=0,INDEX(RR!AH:AH,INT((ROW()-ROW($I$12))/3)+9),"")</f>
        <v>0</v>
      </c>
      <c r="L183" s="73">
        <f t="array" ref="L183">IF(MOD(ROW()-ROW($I$12),3)=0,INDEX(RR!AK:AK,INT((ROW()-ROW($I$12))/3)+9),"")</f>
        <v>0</v>
      </c>
      <c r="M183" s="73">
        <f t="array" ref="M183">IF(MOD(ROW()-ROW($I$12),3)=0,INDEX(RR!AQ:AQ,INT((ROW()-ROW($I$12))/3)+9),"")</f>
        <v>0</v>
      </c>
      <c r="N183" s="73">
        <f t="array" ref="N183">IF(MOD(ROW()-ROW($I$12),3)=0,INDEX(RR!AW:AW,INT((ROW()-ROW($I$12))/3)+9),"")</f>
        <v>0</v>
      </c>
      <c r="O183" s="73">
        <f t="array" ref="O183">IF(MOD(ROW()-ROW($I$12),3)=0,INDEX(RR!BB:BB,INT((ROW()-ROW($I$12))/3)+9),"")</f>
        <v>0</v>
      </c>
      <c r="P183" s="73">
        <f t="array" ref="P183">IF(MOD(ROW()-ROW($I$12),3)=0,INDEX(RR!BF:BF,INT((ROW()-ROW($I$12))/3)+9),"")</f>
        <v>0</v>
      </c>
      <c r="Q183" s="73">
        <f t="array" ref="Q183">IF(MOD(ROW()-ROW($I$12),3)=0,INDEX(RR!BI:BI,INT((ROW()-ROW($I$12))/3)+9),"")</f>
        <v>0</v>
      </c>
      <c r="R183" s="73">
        <f t="array" ref="R183">IF(MOD(ROW()-ROW($I$12),3)=0,INDEX(RR!BL:BL,INT((ROW()-ROW($I$12))/3)+9),"")</f>
        <v>0</v>
      </c>
      <c r="S183" s="73">
        <f t="array" ref="S183">IF(MOD(ROW()-ROW($I$12),3)=0,INDEX(RR!BP:BP,INT((ROW()-ROW($I$12))/3)+9),"")</f>
        <v>0</v>
      </c>
      <c r="T183" s="73">
        <f t="array" ref="T183">IF(MOD(ROW()-ROW($I$12),3)=0,INDEX(RR!BT:BT,INT((ROW()-ROW($I$12))/3)+9),"")</f>
        <v>0</v>
      </c>
      <c r="U183" s="73">
        <f t="array" ref="U183">IF(MOD(ROW()-ROW($I$12),3)=0,INDEX(RR!BV:BV,INT((ROW()-ROW($I$12))/3)+9),"")</f>
        <v>0</v>
      </c>
      <c r="V183" s="73">
        <f t="array" ref="V183">IF(MOD(ROW()-ROW($I$12),3)=0,INDEX(RR!BZ:BZ,INT((ROW()-ROW($I$12))/3)+9),"")</f>
        <v>0</v>
      </c>
      <c r="W183" s="73">
        <f t="shared" ref="W183:W184" si="172">IF(MOD(ROW()-ROW($W$12),3)&lt;&gt;2,SUM(G183:V183),"")</f>
        <v>0</v>
      </c>
      <c r="X183" s="73">
        <f>IF(MOD(ROW()-ROW($X$12),3)&lt;&gt;2,ROUND(W183/16,2),"")</f>
        <v>0</v>
      </c>
      <c r="Y183" s="70"/>
      <c r="Z183" s="74" t="str">
        <f t="array" ref="Z183">IF(MOD(ROW()-ROW($Z$12),3)=0,IF(INDEX(X:X,ROW()+2)&gt;=$AC$9,"L","TL"),"")</f>
        <v>TL</v>
      </c>
      <c r="AA183" s="56"/>
      <c r="AB183" s="56"/>
      <c r="AC183" s="56"/>
      <c r="AD183" s="56"/>
      <c r="AE183" s="56"/>
    </row>
    <row r="184" spans="1:31" ht="14.5">
      <c r="A184" s="70" t="str">
        <f t="shared" si="171"/>
        <v/>
      </c>
      <c r="B184" s="70" t="str">
        <f t="array" ref="B184">IF(MOD(ROW()-ROW($B$12),3)=0,INDEX(BIODATA!B:B,INT((ROW()-ROW($B$12))/3)+24),"")</f>
        <v/>
      </c>
      <c r="C184" s="70"/>
      <c r="D184" s="71"/>
      <c r="E184" s="70"/>
      <c r="F184" s="72" t="s">
        <v>105</v>
      </c>
      <c r="G184" s="73">
        <f t="array" ref="G184">IF(MOD(ROW()-ROW($G$12),3)=1,INDEX(PSAJ!F:F,INT((ROW()-ROW($G$12))/3)+8),"")</f>
        <v>0</v>
      </c>
      <c r="H184" s="73">
        <f t="array" ref="H184">IF(MOD(ROW()-ROW($G$12),3)=1,INDEX(PSAJ!G:G,INT((ROW()-ROW($G$12))/3)+8),"")</f>
        <v>0</v>
      </c>
      <c r="I184" s="73">
        <f t="array" ref="I184">IF(MOD(ROW()-ROW($G$12),3)=1,INDEX(PSAJ!H:H,INT((ROW()-ROW($G$12))/3)+8),"")</f>
        <v>0</v>
      </c>
      <c r="J184" s="73">
        <f t="array" ref="J184">IF(MOD(ROW()-ROW($G$12),3)=1,INDEX(PSAJ!I:I,INT((ROW()-ROW($G$12))/3)+8),"")</f>
        <v>0</v>
      </c>
      <c r="K184" s="73">
        <f t="array" ref="K184">IF(MOD(ROW()-ROW($G$12),3)=1,INDEX(PSAJ!J:J,INT((ROW()-ROW($G$12))/3)+8),"")</f>
        <v>0</v>
      </c>
      <c r="L184" s="73">
        <f t="array" ref="L184">IF(MOD(ROW()-ROW($G$12),3)=1,INDEX(PSAJ!K:K,INT((ROW()-ROW($G$12))/3)+8),"")</f>
        <v>0</v>
      </c>
      <c r="M184" s="73">
        <f t="array" ref="M184">IF(MOD(ROW()-ROW($G$12),3)=1,INDEX(PSAJ!L:L,INT((ROW()-ROW($G$12))/3)+8),"")</f>
        <v>0</v>
      </c>
      <c r="N184" s="73">
        <f t="array" ref="N184">IF(MOD(ROW()-ROW($G$12),3)=1,INDEX(PSAJ!M:M,INT((ROW()-ROW($G$12))/3)+8),"")</f>
        <v>0</v>
      </c>
      <c r="O184" s="73">
        <f t="array" ref="O184">IF(MOD(ROW()-ROW($G$12),3)=1,INDEX(PSAJ!N:N,INT((ROW()-ROW($G$12))/3)+8),"")</f>
        <v>0</v>
      </c>
      <c r="P184" s="73">
        <f t="array" ref="P184">IF(MOD(ROW()-ROW($G$12),3)=1,INDEX(PSAJ!O:O,INT((ROW()-ROW($G$12))/3)+8),"")</f>
        <v>0</v>
      </c>
      <c r="Q184" s="73">
        <f t="array" ref="Q184">IF(MOD(ROW()-ROW($G$12),3)=1,INDEX(PSAJ!P:P,INT((ROW()-ROW($G$12))/3)+8),"")</f>
        <v>0</v>
      </c>
      <c r="R184" s="73">
        <f t="array" ref="R184">IF(MOD(ROW()-ROW($G$12),3)=1,INDEX(PSAJ!Q:Q,INT((ROW()-ROW($G$12))/3)+8),"")</f>
        <v>0</v>
      </c>
      <c r="S184" s="73">
        <f t="array" ref="S184">IF(MOD(ROW()-ROW($G$12),3)=1,INDEX(PSAJ!R:R,INT((ROW()-ROW($G$12))/3)+8),"")</f>
        <v>0</v>
      </c>
      <c r="T184" s="73">
        <f t="array" ref="T184">IF(MOD(ROW()-ROW($G$12),3)=1,INDEX(PSAJ!S:S,INT((ROW()-ROW($G$12))/3)+8),"")</f>
        <v>0</v>
      </c>
      <c r="U184" s="73">
        <v>0</v>
      </c>
      <c r="V184" s="73">
        <f t="array" ref="V184">IF(MOD(ROW()-ROW($G$12),3)=1,INDEX(PSAJ!T:T,INT((ROW()-ROW($G$12))/3)+8),"")</f>
        <v>0</v>
      </c>
      <c r="W184" s="73">
        <f t="shared" si="172"/>
        <v>0</v>
      </c>
      <c r="X184" s="73">
        <f>IF(MOD(ROW()-ROW($X$12),3)&lt;&gt;2,ROUND(W184/15,2),"")</f>
        <v>0</v>
      </c>
      <c r="Y184" s="70"/>
      <c r="Z184" s="75"/>
      <c r="AA184" s="56"/>
      <c r="AB184" s="56"/>
      <c r="AC184" s="56"/>
      <c r="AD184" s="56"/>
      <c r="AE184" s="56"/>
    </row>
    <row r="185" spans="1:31" ht="14.5">
      <c r="A185" s="70"/>
      <c r="B185" s="70"/>
      <c r="C185" s="70"/>
      <c r="D185" s="71"/>
      <c r="E185" s="70"/>
      <c r="F185" s="76" t="s">
        <v>135</v>
      </c>
      <c r="G185" s="77">
        <f t="shared" ref="G185:T185" si="173">IF(MOD(ROW()-ROW($G$12),3)=2,((INDEX(G:G,ROW()-2)*$AC$4)+(INDEX(G:G,ROW()-1)*$AE$4))/$AD$5,"")</f>
        <v>0</v>
      </c>
      <c r="H185" s="77">
        <f t="shared" si="173"/>
        <v>0</v>
      </c>
      <c r="I185" s="77">
        <f t="shared" si="173"/>
        <v>0</v>
      </c>
      <c r="J185" s="77">
        <f t="shared" si="173"/>
        <v>0</v>
      </c>
      <c r="K185" s="77">
        <f t="shared" si="173"/>
        <v>0</v>
      </c>
      <c r="L185" s="77">
        <f t="shared" si="173"/>
        <v>0</v>
      </c>
      <c r="M185" s="77">
        <f t="shared" si="173"/>
        <v>0</v>
      </c>
      <c r="N185" s="77">
        <f t="shared" si="173"/>
        <v>0</v>
      </c>
      <c r="O185" s="77">
        <f t="shared" si="173"/>
        <v>0</v>
      </c>
      <c r="P185" s="77">
        <f t="shared" si="173"/>
        <v>0</v>
      </c>
      <c r="Q185" s="77">
        <f t="shared" si="173"/>
        <v>0</v>
      </c>
      <c r="R185" s="77">
        <f t="shared" si="173"/>
        <v>0</v>
      </c>
      <c r="S185" s="77">
        <f t="shared" si="173"/>
        <v>0</v>
      </c>
      <c r="T185" s="77">
        <f t="shared" si="173"/>
        <v>0</v>
      </c>
      <c r="U185" s="77">
        <f t="array" ref="U185">IF(MOD(ROW()-ROW($U$12),3)=2,N(INDEX(U:U,ROW()-2)),0)</f>
        <v>0</v>
      </c>
      <c r="V185" s="77">
        <f>IF(MOD(ROW()-ROW($G$12),3)=2,((INDEX(V:V,ROW()-2)*$AC$4)+(INDEX(V:V,ROW()-1)*$AE$4))/$AD$5,"")</f>
        <v>0</v>
      </c>
      <c r="W185" s="77">
        <f>IF(MOD(ROW()-ROW($G$12),3)=2,((INDEX(W:W,ROW()-2)*$AC$4)+(INDEX(W:W,ROW()-1)*$AE$4))/$AD$5,"")</f>
        <v>0</v>
      </c>
      <c r="X185" s="77">
        <f>IF(MOD(ROW()-ROW($G$12),3)=2,((INDEX(X:X,ROW()-2)*$AC$4)+(INDEX(X:X,ROW()-1)*$AE$4))/$AD$5,"")</f>
        <v>0</v>
      </c>
      <c r="Y185" s="78"/>
      <c r="Z185" s="77"/>
      <c r="AA185" s="56"/>
      <c r="AB185" s="56"/>
      <c r="AC185" s="56"/>
      <c r="AD185" s="56"/>
      <c r="AE185" s="56"/>
    </row>
    <row r="186" spans="1:31" ht="14.5">
      <c r="A186" s="70">
        <f t="shared" ref="A186:A187" si="174">IF(MOD(ROW()-12,3)=0,INT((ROW()-12)/3)+1,"")</f>
        <v>59</v>
      </c>
      <c r="B186" s="70">
        <f t="array" ref="B186">IF(MOD(ROW()-ROW($B$12),3)=0,INDEX(BIODATA!B:B,INT((ROW()-ROW($B$12))/3)+24),"")</f>
        <v>0</v>
      </c>
      <c r="C186" s="70">
        <f t="array" ref="C186">IF(MOD(ROW()-ROW($B$12),3)=0,INDEX(BIODATA!C:C,INT((ROW()-ROW($B$12))/3)+24),"")</f>
        <v>0</v>
      </c>
      <c r="D186" s="71">
        <f t="array" ref="D186">IF(MOD(ROW()-ROW($B$12),3)=0,INDEX(BIODATA!D:D,INT((ROW()-ROW($B$12))/3)+24),"")</f>
        <v>0</v>
      </c>
      <c r="E186" s="70">
        <f t="array" ref="E186">IF(MOD(ROW()-ROW($B$12),3)=0,INDEX(BIODATA!H:H,INT((ROW()-ROW($B$12))/3)+24),"")</f>
        <v>0</v>
      </c>
      <c r="F186" s="72" t="s">
        <v>134</v>
      </c>
      <c r="G186" s="73">
        <f t="array" ref="G186">IF(MOD(ROW()-ROW($G$12),3)=0,INDEX(RR!L:L,INT((ROW()-ROW($G$12))/3)+9),"")</f>
        <v>0</v>
      </c>
      <c r="H186" s="73">
        <f t="array" ref="H186">IF(MOD(ROW()-ROW($H$12),3)=0,INDEX(RR!R:R,INT((ROW()-ROW($H$12))/3)+9),"")</f>
        <v>0</v>
      </c>
      <c r="I186" s="73">
        <f t="array" ref="I186">IF(MOD(ROW()-ROW($I$12),3)=0,INDEX(RR!X:X,INT((ROW()-ROW($I$12))/3)+9),"")</f>
        <v>0</v>
      </c>
      <c r="J186" s="73">
        <f t="array" ref="J186">IF(MOD(ROW()-ROW($I$12),3)=0,INDEX(RR!AC:AC,INT((ROW()-ROW($I$12))/3)+9),"")</f>
        <v>0</v>
      </c>
      <c r="K186" s="73">
        <f t="array" ref="K186">IF(MOD(ROW()-ROW($I$12),3)=0,INDEX(RR!AH:AH,INT((ROW()-ROW($I$12))/3)+9),"")</f>
        <v>0</v>
      </c>
      <c r="L186" s="73">
        <f t="array" ref="L186">IF(MOD(ROW()-ROW($I$12),3)=0,INDEX(RR!AK:AK,INT((ROW()-ROW($I$12))/3)+9),"")</f>
        <v>0</v>
      </c>
      <c r="M186" s="73">
        <f t="array" ref="M186">IF(MOD(ROW()-ROW($I$12),3)=0,INDEX(RR!AQ:AQ,INT((ROW()-ROW($I$12))/3)+9),"")</f>
        <v>0</v>
      </c>
      <c r="N186" s="73">
        <f t="array" ref="N186">IF(MOD(ROW()-ROW($I$12),3)=0,INDEX(RR!AW:AW,INT((ROW()-ROW($I$12))/3)+9),"")</f>
        <v>0</v>
      </c>
      <c r="O186" s="73">
        <f t="array" ref="O186">IF(MOD(ROW()-ROW($I$12),3)=0,INDEX(RR!BB:BB,INT((ROW()-ROW($I$12))/3)+9),"")</f>
        <v>0</v>
      </c>
      <c r="P186" s="73">
        <f t="array" ref="P186">IF(MOD(ROW()-ROW($I$12),3)=0,INDEX(RR!BF:BF,INT((ROW()-ROW($I$12))/3)+9),"")</f>
        <v>0</v>
      </c>
      <c r="Q186" s="73">
        <f t="array" ref="Q186">IF(MOD(ROW()-ROW($I$12),3)=0,INDEX(RR!BI:BI,INT((ROW()-ROW($I$12))/3)+9),"")</f>
        <v>0</v>
      </c>
      <c r="R186" s="73">
        <f t="array" ref="R186">IF(MOD(ROW()-ROW($I$12),3)=0,INDEX(RR!BL:BL,INT((ROW()-ROW($I$12))/3)+9),"")</f>
        <v>0</v>
      </c>
      <c r="S186" s="73">
        <f t="array" ref="S186">IF(MOD(ROW()-ROW($I$12),3)=0,INDEX(RR!BP:BP,INT((ROW()-ROW($I$12))/3)+9),"")</f>
        <v>0</v>
      </c>
      <c r="T186" s="73">
        <f t="array" ref="T186">IF(MOD(ROW()-ROW($I$12),3)=0,INDEX(RR!BT:BT,INT((ROW()-ROW($I$12))/3)+9),"")</f>
        <v>0</v>
      </c>
      <c r="U186" s="73">
        <f t="array" ref="U186">IF(MOD(ROW()-ROW($I$12),3)=0,INDEX(RR!BV:BV,INT((ROW()-ROW($I$12))/3)+9),"")</f>
        <v>0</v>
      </c>
      <c r="V186" s="73">
        <f t="array" ref="V186">IF(MOD(ROW()-ROW($I$12),3)=0,INDEX(RR!BZ:BZ,INT((ROW()-ROW($I$12))/3)+9),"")</f>
        <v>0</v>
      </c>
      <c r="W186" s="73">
        <f t="shared" ref="W186:W187" si="175">IF(MOD(ROW()-ROW($W$12),3)&lt;&gt;2,SUM(G186:V186),"")</f>
        <v>0</v>
      </c>
      <c r="X186" s="73">
        <f>IF(MOD(ROW()-ROW($X$12),3)&lt;&gt;2,ROUND(W186/16,2),"")</f>
        <v>0</v>
      </c>
      <c r="Y186" s="70"/>
      <c r="Z186" s="74" t="str">
        <f t="array" ref="Z186">IF(MOD(ROW()-ROW($Z$12),3)=0,IF(INDEX(X:X,ROW()+2)&gt;=$AC$9,"L","TL"),"")</f>
        <v>TL</v>
      </c>
      <c r="AA186" s="56"/>
      <c r="AB186" s="56"/>
      <c r="AC186" s="56"/>
      <c r="AD186" s="56"/>
      <c r="AE186" s="56"/>
    </row>
    <row r="187" spans="1:31" ht="14.5">
      <c r="A187" s="70" t="str">
        <f t="shared" si="174"/>
        <v/>
      </c>
      <c r="B187" s="70" t="str">
        <f t="array" ref="B187">IF(MOD(ROW()-ROW($B$12),3)=0,INDEX(BIODATA!B:B,INT((ROW()-ROW($B$12))/3)+24),"")</f>
        <v/>
      </c>
      <c r="C187" s="70"/>
      <c r="D187" s="71"/>
      <c r="E187" s="70"/>
      <c r="F187" s="72" t="s">
        <v>105</v>
      </c>
      <c r="G187" s="73">
        <f t="array" ref="G187">IF(MOD(ROW()-ROW($G$12),3)=1,INDEX(PSAJ!F:F,INT((ROW()-ROW($G$12))/3)+8),"")</f>
        <v>0</v>
      </c>
      <c r="H187" s="73">
        <f t="array" ref="H187">IF(MOD(ROW()-ROW($G$12),3)=1,INDEX(PSAJ!G:G,INT((ROW()-ROW($G$12))/3)+8),"")</f>
        <v>0</v>
      </c>
      <c r="I187" s="73">
        <f t="array" ref="I187">IF(MOD(ROW()-ROW($G$12),3)=1,INDEX(PSAJ!H:H,INT((ROW()-ROW($G$12))/3)+8),"")</f>
        <v>0</v>
      </c>
      <c r="J187" s="73">
        <f t="array" ref="J187">IF(MOD(ROW()-ROW($G$12),3)=1,INDEX(PSAJ!I:I,INT((ROW()-ROW($G$12))/3)+8),"")</f>
        <v>0</v>
      </c>
      <c r="K187" s="73">
        <f t="array" ref="K187">IF(MOD(ROW()-ROW($G$12),3)=1,INDEX(PSAJ!J:J,INT((ROW()-ROW($G$12))/3)+8),"")</f>
        <v>0</v>
      </c>
      <c r="L187" s="73">
        <f t="array" ref="L187">IF(MOD(ROW()-ROW($G$12),3)=1,INDEX(PSAJ!K:K,INT((ROW()-ROW($G$12))/3)+8),"")</f>
        <v>0</v>
      </c>
      <c r="M187" s="73">
        <f t="array" ref="M187">IF(MOD(ROW()-ROW($G$12),3)=1,INDEX(PSAJ!L:L,INT((ROW()-ROW($G$12))/3)+8),"")</f>
        <v>0</v>
      </c>
      <c r="N187" s="73">
        <f t="array" ref="N187">IF(MOD(ROW()-ROW($G$12),3)=1,INDEX(PSAJ!M:M,INT((ROW()-ROW($G$12))/3)+8),"")</f>
        <v>0</v>
      </c>
      <c r="O187" s="73">
        <f t="array" ref="O187">IF(MOD(ROW()-ROW($G$12),3)=1,INDEX(PSAJ!N:N,INT((ROW()-ROW($G$12))/3)+8),"")</f>
        <v>0</v>
      </c>
      <c r="P187" s="73">
        <f t="array" ref="P187">IF(MOD(ROW()-ROW($G$12),3)=1,INDEX(PSAJ!O:O,INT((ROW()-ROW($G$12))/3)+8),"")</f>
        <v>0</v>
      </c>
      <c r="Q187" s="73">
        <f t="array" ref="Q187">IF(MOD(ROW()-ROW($G$12),3)=1,INDEX(PSAJ!P:P,INT((ROW()-ROW($G$12))/3)+8),"")</f>
        <v>0</v>
      </c>
      <c r="R187" s="73">
        <f t="array" ref="R187">IF(MOD(ROW()-ROW($G$12),3)=1,INDEX(PSAJ!Q:Q,INT((ROW()-ROW($G$12))/3)+8),"")</f>
        <v>0</v>
      </c>
      <c r="S187" s="73">
        <f t="array" ref="S187">IF(MOD(ROW()-ROW($G$12),3)=1,INDEX(PSAJ!R:R,INT((ROW()-ROW($G$12))/3)+8),"")</f>
        <v>0</v>
      </c>
      <c r="T187" s="73">
        <f t="array" ref="T187">IF(MOD(ROW()-ROW($G$12),3)=1,INDEX(PSAJ!S:S,INT((ROW()-ROW($G$12))/3)+8),"")</f>
        <v>0</v>
      </c>
      <c r="U187" s="73">
        <v>0</v>
      </c>
      <c r="V187" s="73">
        <f t="array" ref="V187">IF(MOD(ROW()-ROW($G$12),3)=1,INDEX(PSAJ!T:T,INT((ROW()-ROW($G$12))/3)+8),"")</f>
        <v>0</v>
      </c>
      <c r="W187" s="73">
        <f t="shared" si="175"/>
        <v>0</v>
      </c>
      <c r="X187" s="73">
        <f>IF(MOD(ROW()-ROW($X$12),3)&lt;&gt;2,ROUND(W187/15,2),"")</f>
        <v>0</v>
      </c>
      <c r="Y187" s="70"/>
      <c r="Z187" s="75"/>
      <c r="AA187" s="56"/>
      <c r="AB187" s="56"/>
      <c r="AC187" s="56"/>
      <c r="AD187" s="56"/>
      <c r="AE187" s="56"/>
    </row>
    <row r="188" spans="1:31" ht="14.5">
      <c r="A188" s="70"/>
      <c r="B188" s="70"/>
      <c r="C188" s="70"/>
      <c r="D188" s="71"/>
      <c r="E188" s="70"/>
      <c r="F188" s="76" t="s">
        <v>135</v>
      </c>
      <c r="G188" s="77">
        <f t="shared" ref="G188:T188" si="176">IF(MOD(ROW()-ROW($G$12),3)=2,((INDEX(G:G,ROW()-2)*$AC$4)+(INDEX(G:G,ROW()-1)*$AE$4))/$AD$5,"")</f>
        <v>0</v>
      </c>
      <c r="H188" s="77">
        <f t="shared" si="176"/>
        <v>0</v>
      </c>
      <c r="I188" s="77">
        <f t="shared" si="176"/>
        <v>0</v>
      </c>
      <c r="J188" s="77">
        <f t="shared" si="176"/>
        <v>0</v>
      </c>
      <c r="K188" s="77">
        <f t="shared" si="176"/>
        <v>0</v>
      </c>
      <c r="L188" s="77">
        <f t="shared" si="176"/>
        <v>0</v>
      </c>
      <c r="M188" s="77">
        <f t="shared" si="176"/>
        <v>0</v>
      </c>
      <c r="N188" s="77">
        <f t="shared" si="176"/>
        <v>0</v>
      </c>
      <c r="O188" s="77">
        <f t="shared" si="176"/>
        <v>0</v>
      </c>
      <c r="P188" s="77">
        <f t="shared" si="176"/>
        <v>0</v>
      </c>
      <c r="Q188" s="77">
        <f t="shared" si="176"/>
        <v>0</v>
      </c>
      <c r="R188" s="77">
        <f t="shared" si="176"/>
        <v>0</v>
      </c>
      <c r="S188" s="77">
        <f t="shared" si="176"/>
        <v>0</v>
      </c>
      <c r="T188" s="77">
        <f t="shared" si="176"/>
        <v>0</v>
      </c>
      <c r="U188" s="77">
        <f t="array" ref="U188">IF(MOD(ROW()-ROW($U$12),3)=2,N(INDEX(U:U,ROW()-2)),0)</f>
        <v>0</v>
      </c>
      <c r="V188" s="77">
        <f>IF(MOD(ROW()-ROW($G$12),3)=2,((INDEX(V:V,ROW()-2)*$AC$4)+(INDEX(V:V,ROW()-1)*$AE$4))/$AD$5,"")</f>
        <v>0</v>
      </c>
      <c r="W188" s="77">
        <f>IF(MOD(ROW()-ROW($G$12),3)=2,((INDEX(W:W,ROW()-2)*$AC$4)+(INDEX(W:W,ROW()-1)*$AE$4))/$AD$5,"")</f>
        <v>0</v>
      </c>
      <c r="X188" s="77">
        <f>IF(MOD(ROW()-ROW($G$12),3)=2,((INDEX(X:X,ROW()-2)*$AC$4)+(INDEX(X:X,ROW()-1)*$AE$4))/$AD$5,"")</f>
        <v>0</v>
      </c>
      <c r="Y188" s="78"/>
      <c r="Z188" s="77"/>
      <c r="AA188" s="56"/>
      <c r="AB188" s="56"/>
      <c r="AC188" s="56"/>
      <c r="AD188" s="56"/>
      <c r="AE188" s="56"/>
    </row>
    <row r="189" spans="1:31" ht="14.5">
      <c r="A189" s="70">
        <f t="shared" ref="A189:A190" si="177">IF(MOD(ROW()-12,3)=0,INT((ROW()-12)/3)+1,"")</f>
        <v>60</v>
      </c>
      <c r="B189" s="70">
        <f t="array" ref="B189">IF(MOD(ROW()-ROW($B$12),3)=0,INDEX(BIODATA!B:B,INT((ROW()-ROW($B$12))/3)+24),"")</f>
        <v>0</v>
      </c>
      <c r="C189" s="70">
        <f t="array" ref="C189">IF(MOD(ROW()-ROW($B$12),3)=0,INDEX(BIODATA!C:C,INT((ROW()-ROW($B$12))/3)+24),"")</f>
        <v>0</v>
      </c>
      <c r="D189" s="71">
        <f t="array" ref="D189">IF(MOD(ROW()-ROW($B$12),3)=0,INDEX(BIODATA!D:D,INT((ROW()-ROW($B$12))/3)+24),"")</f>
        <v>0</v>
      </c>
      <c r="E189" s="70">
        <f t="array" ref="E189">IF(MOD(ROW()-ROW($B$12),3)=0,INDEX(BIODATA!H:H,INT((ROW()-ROW($B$12))/3)+24),"")</f>
        <v>0</v>
      </c>
      <c r="F189" s="72" t="s">
        <v>134</v>
      </c>
      <c r="G189" s="73">
        <f t="array" ref="G189">IF(MOD(ROW()-ROW($G$12),3)=0,INDEX(RR!L:L,INT((ROW()-ROW($G$12))/3)+9),"")</f>
        <v>0</v>
      </c>
      <c r="H189" s="73">
        <f t="array" ref="H189">IF(MOD(ROW()-ROW($H$12),3)=0,INDEX(RR!R:R,INT((ROW()-ROW($H$12))/3)+9),"")</f>
        <v>0</v>
      </c>
      <c r="I189" s="73">
        <f t="array" ref="I189">IF(MOD(ROW()-ROW($I$12),3)=0,INDEX(RR!X:X,INT((ROW()-ROW($I$12))/3)+9),"")</f>
        <v>0</v>
      </c>
      <c r="J189" s="73">
        <f t="array" ref="J189">IF(MOD(ROW()-ROW($I$12),3)=0,INDEX(RR!AC:AC,INT((ROW()-ROW($I$12))/3)+9),"")</f>
        <v>0</v>
      </c>
      <c r="K189" s="73">
        <f t="array" ref="K189">IF(MOD(ROW()-ROW($I$12),3)=0,INDEX(RR!AH:AH,INT((ROW()-ROW($I$12))/3)+9),"")</f>
        <v>0</v>
      </c>
      <c r="L189" s="73">
        <f t="array" ref="L189">IF(MOD(ROW()-ROW($I$12),3)=0,INDEX(RR!AK:AK,INT((ROW()-ROW($I$12))/3)+9),"")</f>
        <v>0</v>
      </c>
      <c r="M189" s="73">
        <f t="array" ref="M189">IF(MOD(ROW()-ROW($I$12),3)=0,INDEX(RR!AQ:AQ,INT((ROW()-ROW($I$12))/3)+9),"")</f>
        <v>0</v>
      </c>
      <c r="N189" s="73">
        <f t="array" ref="N189">IF(MOD(ROW()-ROW($I$12),3)=0,INDEX(RR!AW:AW,INT((ROW()-ROW($I$12))/3)+9),"")</f>
        <v>0</v>
      </c>
      <c r="O189" s="73">
        <f t="array" ref="O189">IF(MOD(ROW()-ROW($I$12),3)=0,INDEX(RR!BB:BB,INT((ROW()-ROW($I$12))/3)+9),"")</f>
        <v>0</v>
      </c>
      <c r="P189" s="73">
        <f t="array" ref="P189">IF(MOD(ROW()-ROW($I$12),3)=0,INDEX(RR!BF:BF,INT((ROW()-ROW($I$12))/3)+9),"")</f>
        <v>0</v>
      </c>
      <c r="Q189" s="73">
        <f t="array" ref="Q189">IF(MOD(ROW()-ROW($I$12),3)=0,INDEX(RR!BI:BI,INT((ROW()-ROW($I$12))/3)+9),"")</f>
        <v>0</v>
      </c>
      <c r="R189" s="73">
        <f t="array" ref="R189">IF(MOD(ROW()-ROW($I$12),3)=0,INDEX(RR!BL:BL,INT((ROW()-ROW($I$12))/3)+9),"")</f>
        <v>0</v>
      </c>
      <c r="S189" s="73">
        <f t="array" ref="S189">IF(MOD(ROW()-ROW($I$12),3)=0,INDEX(RR!BP:BP,INT((ROW()-ROW($I$12))/3)+9),"")</f>
        <v>0</v>
      </c>
      <c r="T189" s="73">
        <f t="array" ref="T189">IF(MOD(ROW()-ROW($I$12),3)=0,INDEX(RR!BT:BT,INT((ROW()-ROW($I$12))/3)+9),"")</f>
        <v>0</v>
      </c>
      <c r="U189" s="73">
        <f t="array" ref="U189">IF(MOD(ROW()-ROW($I$12),3)=0,INDEX(RR!BV:BV,INT((ROW()-ROW($I$12))/3)+9),"")</f>
        <v>0</v>
      </c>
      <c r="V189" s="73">
        <f t="array" ref="V189">IF(MOD(ROW()-ROW($I$12),3)=0,INDEX(RR!BZ:BZ,INT((ROW()-ROW($I$12))/3)+9),"")</f>
        <v>0</v>
      </c>
      <c r="W189" s="73">
        <f t="shared" ref="W189:W190" si="178">IF(MOD(ROW()-ROW($W$12),3)&lt;&gt;2,SUM(G189:V189),"")</f>
        <v>0</v>
      </c>
      <c r="X189" s="73">
        <f>IF(MOD(ROW()-ROW($X$12),3)&lt;&gt;2,ROUND(W189/16,2),"")</f>
        <v>0</v>
      </c>
      <c r="Y189" s="70"/>
      <c r="Z189" s="74" t="str">
        <f t="array" ref="Z189">IF(MOD(ROW()-ROW($Z$12),3)=0,IF(INDEX(X:X,ROW()+2)&gt;=$AC$9,"L","TL"),"")</f>
        <v>TL</v>
      </c>
      <c r="AA189" s="56"/>
      <c r="AB189" s="56"/>
      <c r="AC189" s="56"/>
      <c r="AD189" s="56"/>
      <c r="AE189" s="56"/>
    </row>
    <row r="190" spans="1:31" ht="14.5">
      <c r="A190" s="70" t="str">
        <f t="shared" si="177"/>
        <v/>
      </c>
      <c r="B190" s="70" t="str">
        <f t="array" ref="B190">IF(MOD(ROW()-ROW($B$12),3)=0,INDEX(BIODATA!B:B,INT((ROW()-ROW($B$12))/3)+24),"")</f>
        <v/>
      </c>
      <c r="C190" s="70"/>
      <c r="D190" s="71"/>
      <c r="E190" s="70"/>
      <c r="F190" s="72" t="s">
        <v>105</v>
      </c>
      <c r="G190" s="73">
        <f t="array" ref="G190">IF(MOD(ROW()-ROW($G$12),3)=1,INDEX(PSAJ!F:F,INT((ROW()-ROW($G$12))/3)+8),"")</f>
        <v>0</v>
      </c>
      <c r="H190" s="73">
        <f t="array" ref="H190">IF(MOD(ROW()-ROW($G$12),3)=1,INDEX(PSAJ!G:G,INT((ROW()-ROW($G$12))/3)+8),"")</f>
        <v>0</v>
      </c>
      <c r="I190" s="73">
        <f t="array" ref="I190">IF(MOD(ROW()-ROW($G$12),3)=1,INDEX(PSAJ!H:H,INT((ROW()-ROW($G$12))/3)+8),"")</f>
        <v>0</v>
      </c>
      <c r="J190" s="73">
        <f t="array" ref="J190">IF(MOD(ROW()-ROW($G$12),3)=1,INDEX(PSAJ!I:I,INT((ROW()-ROW($G$12))/3)+8),"")</f>
        <v>0</v>
      </c>
      <c r="K190" s="73">
        <f t="array" ref="K190">IF(MOD(ROW()-ROW($G$12),3)=1,INDEX(PSAJ!J:J,INT((ROW()-ROW($G$12))/3)+8),"")</f>
        <v>0</v>
      </c>
      <c r="L190" s="73">
        <f t="array" ref="L190">IF(MOD(ROW()-ROW($G$12),3)=1,INDEX(PSAJ!K:K,INT((ROW()-ROW($G$12))/3)+8),"")</f>
        <v>0</v>
      </c>
      <c r="M190" s="73">
        <f t="array" ref="M190">IF(MOD(ROW()-ROW($G$12),3)=1,INDEX(PSAJ!L:L,INT((ROW()-ROW($G$12))/3)+8),"")</f>
        <v>0</v>
      </c>
      <c r="N190" s="73">
        <f t="array" ref="N190">IF(MOD(ROW()-ROW($G$12),3)=1,INDEX(PSAJ!M:M,INT((ROW()-ROW($G$12))/3)+8),"")</f>
        <v>0</v>
      </c>
      <c r="O190" s="73">
        <f t="array" ref="O190">IF(MOD(ROW()-ROW($G$12),3)=1,INDEX(PSAJ!N:N,INT((ROW()-ROW($G$12))/3)+8),"")</f>
        <v>0</v>
      </c>
      <c r="P190" s="73">
        <f t="array" ref="P190">IF(MOD(ROW()-ROW($G$12),3)=1,INDEX(PSAJ!O:O,INT((ROW()-ROW($G$12))/3)+8),"")</f>
        <v>0</v>
      </c>
      <c r="Q190" s="73">
        <f t="array" ref="Q190">IF(MOD(ROW()-ROW($G$12),3)=1,INDEX(PSAJ!P:P,INT((ROW()-ROW($G$12))/3)+8),"")</f>
        <v>0</v>
      </c>
      <c r="R190" s="73">
        <f t="array" ref="R190">IF(MOD(ROW()-ROW($G$12),3)=1,INDEX(PSAJ!Q:Q,INT((ROW()-ROW($G$12))/3)+8),"")</f>
        <v>0</v>
      </c>
      <c r="S190" s="73">
        <f t="array" ref="S190">IF(MOD(ROW()-ROW($G$12),3)=1,INDEX(PSAJ!R:R,INT((ROW()-ROW($G$12))/3)+8),"")</f>
        <v>0</v>
      </c>
      <c r="T190" s="73">
        <f t="array" ref="T190">IF(MOD(ROW()-ROW($G$12),3)=1,INDEX(PSAJ!S:S,INT((ROW()-ROW($G$12))/3)+8),"")</f>
        <v>0</v>
      </c>
      <c r="U190" s="73">
        <v>0</v>
      </c>
      <c r="V190" s="73">
        <f t="array" ref="V190">IF(MOD(ROW()-ROW($G$12),3)=1,INDEX(PSAJ!T:T,INT((ROW()-ROW($G$12))/3)+8),"")</f>
        <v>0</v>
      </c>
      <c r="W190" s="73">
        <f t="shared" si="178"/>
        <v>0</v>
      </c>
      <c r="X190" s="73">
        <f>IF(MOD(ROW()-ROW($X$12),3)&lt;&gt;2,ROUND(W190/15,2),"")</f>
        <v>0</v>
      </c>
      <c r="Y190" s="70"/>
      <c r="Z190" s="75"/>
      <c r="AA190" s="56"/>
      <c r="AB190" s="56"/>
      <c r="AC190" s="56"/>
      <c r="AD190" s="56"/>
      <c r="AE190" s="56"/>
    </row>
    <row r="191" spans="1:31" ht="14.5">
      <c r="A191" s="70"/>
      <c r="B191" s="70"/>
      <c r="C191" s="70"/>
      <c r="D191" s="71"/>
      <c r="E191" s="70"/>
      <c r="F191" s="76" t="s">
        <v>135</v>
      </c>
      <c r="G191" s="77">
        <f t="shared" ref="G191:T191" si="179">IF(MOD(ROW()-ROW($G$12),3)=2,((INDEX(G:G,ROW()-2)*$AC$4)+(INDEX(G:G,ROW()-1)*$AE$4))/$AD$5,"")</f>
        <v>0</v>
      </c>
      <c r="H191" s="77">
        <f t="shared" si="179"/>
        <v>0</v>
      </c>
      <c r="I191" s="77">
        <f t="shared" si="179"/>
        <v>0</v>
      </c>
      <c r="J191" s="77">
        <f t="shared" si="179"/>
        <v>0</v>
      </c>
      <c r="K191" s="77">
        <f t="shared" si="179"/>
        <v>0</v>
      </c>
      <c r="L191" s="77">
        <f t="shared" si="179"/>
        <v>0</v>
      </c>
      <c r="M191" s="77">
        <f t="shared" si="179"/>
        <v>0</v>
      </c>
      <c r="N191" s="77">
        <f t="shared" si="179"/>
        <v>0</v>
      </c>
      <c r="O191" s="77">
        <f t="shared" si="179"/>
        <v>0</v>
      </c>
      <c r="P191" s="77">
        <f t="shared" si="179"/>
        <v>0</v>
      </c>
      <c r="Q191" s="77">
        <f t="shared" si="179"/>
        <v>0</v>
      </c>
      <c r="R191" s="77">
        <f t="shared" si="179"/>
        <v>0</v>
      </c>
      <c r="S191" s="77">
        <f t="shared" si="179"/>
        <v>0</v>
      </c>
      <c r="T191" s="77">
        <f t="shared" si="179"/>
        <v>0</v>
      </c>
      <c r="U191" s="77">
        <f t="array" ref="U191">IF(MOD(ROW()-ROW($U$12),3)=2,N(INDEX(U:U,ROW()-2)),0)</f>
        <v>0</v>
      </c>
      <c r="V191" s="77">
        <f>IF(MOD(ROW()-ROW($G$12),3)=2,((INDEX(V:V,ROW()-2)*$AC$4)+(INDEX(V:V,ROW()-1)*$AE$4))/$AD$5,"")</f>
        <v>0</v>
      </c>
      <c r="W191" s="77">
        <f>IF(MOD(ROW()-ROW($G$12),3)=2,((INDEX(W:W,ROW()-2)*$AC$4)+(INDEX(W:W,ROW()-1)*$AE$4))/$AD$5,"")</f>
        <v>0</v>
      </c>
      <c r="X191" s="77">
        <f>IF(MOD(ROW()-ROW($G$12),3)=2,((INDEX(X:X,ROW()-2)*$AC$4)+(INDEX(X:X,ROW()-1)*$AE$4))/$AD$5,"")</f>
        <v>0</v>
      </c>
      <c r="Y191" s="78"/>
      <c r="Z191" s="77"/>
      <c r="AA191" s="56"/>
      <c r="AB191" s="56"/>
      <c r="AC191" s="56"/>
      <c r="AD191" s="56"/>
      <c r="AE191" s="56"/>
    </row>
    <row r="192" spans="1:31" ht="14.5">
      <c r="A192" s="70">
        <f t="shared" ref="A192:A193" si="180">IF(MOD(ROW()-12,3)=0,INT((ROW()-12)/3)+1,"")</f>
        <v>61</v>
      </c>
      <c r="B192" s="70">
        <f t="array" ref="B192">IF(MOD(ROW()-ROW($B$12),3)=0,INDEX(BIODATA!B:B,INT((ROW()-ROW($B$12))/3)+24),"")</f>
        <v>0</v>
      </c>
      <c r="C192" s="70">
        <f t="array" ref="C192">IF(MOD(ROW()-ROW($B$12),3)=0,INDEX(BIODATA!C:C,INT((ROW()-ROW($B$12))/3)+24),"")</f>
        <v>0</v>
      </c>
      <c r="D192" s="71">
        <f t="array" ref="D192">IF(MOD(ROW()-ROW($B$12),3)=0,INDEX(BIODATA!D:D,INT((ROW()-ROW($B$12))/3)+24),"")</f>
        <v>0</v>
      </c>
      <c r="E192" s="70">
        <f t="array" ref="E192">IF(MOD(ROW()-ROW($B$12),3)=0,INDEX(BIODATA!H:H,INT((ROW()-ROW($B$12))/3)+24),"")</f>
        <v>0</v>
      </c>
      <c r="F192" s="72" t="s">
        <v>134</v>
      </c>
      <c r="G192" s="73">
        <f t="array" ref="G192">IF(MOD(ROW()-ROW($G$12),3)=0,INDEX(RR!L:L,INT((ROW()-ROW($G$12))/3)+9),"")</f>
        <v>0</v>
      </c>
      <c r="H192" s="73">
        <f t="array" ref="H192">IF(MOD(ROW()-ROW($H$12),3)=0,INDEX(RR!R:R,INT((ROW()-ROW($H$12))/3)+9),"")</f>
        <v>0</v>
      </c>
      <c r="I192" s="73">
        <f t="array" ref="I192">IF(MOD(ROW()-ROW($I$12),3)=0,INDEX(RR!X:X,INT((ROW()-ROW($I$12))/3)+9),"")</f>
        <v>0</v>
      </c>
      <c r="J192" s="73">
        <f t="array" ref="J192">IF(MOD(ROW()-ROW($I$12),3)=0,INDEX(RR!AC:AC,INT((ROW()-ROW($I$12))/3)+9),"")</f>
        <v>0</v>
      </c>
      <c r="K192" s="73">
        <f t="array" ref="K192">IF(MOD(ROW()-ROW($I$12),3)=0,INDEX(RR!AH:AH,INT((ROW()-ROW($I$12))/3)+9),"")</f>
        <v>0</v>
      </c>
      <c r="L192" s="73">
        <f t="array" ref="L192">IF(MOD(ROW()-ROW($I$12),3)=0,INDEX(RR!AK:AK,INT((ROW()-ROW($I$12))/3)+9),"")</f>
        <v>0</v>
      </c>
      <c r="M192" s="73">
        <f t="array" ref="M192">IF(MOD(ROW()-ROW($I$12),3)=0,INDEX(RR!AQ:AQ,INT((ROW()-ROW($I$12))/3)+9),"")</f>
        <v>0</v>
      </c>
      <c r="N192" s="73">
        <f t="array" ref="N192">IF(MOD(ROW()-ROW($I$12),3)=0,INDEX(RR!AW:AW,INT((ROW()-ROW($I$12))/3)+9),"")</f>
        <v>0</v>
      </c>
      <c r="O192" s="73">
        <f t="array" ref="O192">IF(MOD(ROW()-ROW($I$12),3)=0,INDEX(RR!BB:BB,INT((ROW()-ROW($I$12))/3)+9),"")</f>
        <v>0</v>
      </c>
      <c r="P192" s="73">
        <f t="array" ref="P192">IF(MOD(ROW()-ROW($I$12),3)=0,INDEX(RR!BF:BF,INT((ROW()-ROW($I$12))/3)+9),"")</f>
        <v>0</v>
      </c>
      <c r="Q192" s="73">
        <f t="array" ref="Q192">IF(MOD(ROW()-ROW($I$12),3)=0,INDEX(RR!BI:BI,INT((ROW()-ROW($I$12))/3)+9),"")</f>
        <v>0</v>
      </c>
      <c r="R192" s="73">
        <f t="array" ref="R192">IF(MOD(ROW()-ROW($I$12),3)=0,INDEX(RR!BL:BL,INT((ROW()-ROW($I$12))/3)+9),"")</f>
        <v>0</v>
      </c>
      <c r="S192" s="73">
        <f t="array" ref="S192">IF(MOD(ROW()-ROW($I$12),3)=0,INDEX(RR!BP:BP,INT((ROW()-ROW($I$12))/3)+9),"")</f>
        <v>0</v>
      </c>
      <c r="T192" s="73">
        <f t="array" ref="T192">IF(MOD(ROW()-ROW($I$12),3)=0,INDEX(RR!BT:BT,INT((ROW()-ROW($I$12))/3)+9),"")</f>
        <v>0</v>
      </c>
      <c r="U192" s="73">
        <f t="array" ref="U192">IF(MOD(ROW()-ROW($I$12),3)=0,INDEX(RR!BV:BV,INT((ROW()-ROW($I$12))/3)+9),"")</f>
        <v>0</v>
      </c>
      <c r="V192" s="73">
        <f t="array" ref="V192">IF(MOD(ROW()-ROW($I$12),3)=0,INDEX(RR!BZ:BZ,INT((ROW()-ROW($I$12))/3)+9),"")</f>
        <v>0</v>
      </c>
      <c r="W192" s="73">
        <f t="shared" ref="W192:W193" si="181">IF(MOD(ROW()-ROW($W$12),3)&lt;&gt;2,SUM(G192:V192),"")</f>
        <v>0</v>
      </c>
      <c r="X192" s="73">
        <f>IF(MOD(ROW()-ROW($X$12),3)&lt;&gt;2,ROUND(W192/16,2),"")</f>
        <v>0</v>
      </c>
      <c r="Y192" s="70"/>
      <c r="Z192" s="74" t="str">
        <f t="array" ref="Z192">IF(MOD(ROW()-ROW($Z$12),3)=0,IF(INDEX(X:X,ROW()+2)&gt;=$AC$9,"L","TL"),"")</f>
        <v>TL</v>
      </c>
      <c r="AA192" s="56"/>
      <c r="AB192" s="56"/>
      <c r="AC192" s="56"/>
      <c r="AD192" s="56"/>
      <c r="AE192" s="56"/>
    </row>
    <row r="193" spans="1:31" ht="14.5">
      <c r="A193" s="70" t="str">
        <f t="shared" si="180"/>
        <v/>
      </c>
      <c r="B193" s="70" t="str">
        <f t="array" ref="B193">IF(MOD(ROW()-ROW($B$12),3)=0,INDEX(BIODATA!B:B,INT((ROW()-ROW($B$12))/3)+24),"")</f>
        <v/>
      </c>
      <c r="C193" s="70"/>
      <c r="D193" s="71"/>
      <c r="E193" s="70"/>
      <c r="F193" s="72" t="s">
        <v>105</v>
      </c>
      <c r="G193" s="73">
        <f t="array" ref="G193">IF(MOD(ROW()-ROW($G$12),3)=1,INDEX(PSAJ!F:F,INT((ROW()-ROW($G$12))/3)+8),"")</f>
        <v>0</v>
      </c>
      <c r="H193" s="73">
        <f t="array" ref="H193">IF(MOD(ROW()-ROW($G$12),3)=1,INDEX(PSAJ!G:G,INT((ROW()-ROW($G$12))/3)+8),"")</f>
        <v>0</v>
      </c>
      <c r="I193" s="73">
        <f t="array" ref="I193">IF(MOD(ROW()-ROW($G$12),3)=1,INDEX(PSAJ!H:H,INT((ROW()-ROW($G$12))/3)+8),"")</f>
        <v>0</v>
      </c>
      <c r="J193" s="73">
        <f t="array" ref="J193">IF(MOD(ROW()-ROW($G$12),3)=1,INDEX(PSAJ!I:I,INT((ROW()-ROW($G$12))/3)+8),"")</f>
        <v>0</v>
      </c>
      <c r="K193" s="73">
        <f t="array" ref="K193">IF(MOD(ROW()-ROW($G$12),3)=1,INDEX(PSAJ!J:J,INT((ROW()-ROW($G$12))/3)+8),"")</f>
        <v>0</v>
      </c>
      <c r="L193" s="73">
        <f t="array" ref="L193">IF(MOD(ROW()-ROW($G$12),3)=1,INDEX(PSAJ!K:K,INT((ROW()-ROW($G$12))/3)+8),"")</f>
        <v>0</v>
      </c>
      <c r="M193" s="73">
        <f t="array" ref="M193">IF(MOD(ROW()-ROW($G$12),3)=1,INDEX(PSAJ!L:L,INT((ROW()-ROW($G$12))/3)+8),"")</f>
        <v>0</v>
      </c>
      <c r="N193" s="73">
        <f t="array" ref="N193">IF(MOD(ROW()-ROW($G$12),3)=1,INDEX(PSAJ!M:M,INT((ROW()-ROW($G$12))/3)+8),"")</f>
        <v>0</v>
      </c>
      <c r="O193" s="73">
        <f t="array" ref="O193">IF(MOD(ROW()-ROW($G$12),3)=1,INDEX(PSAJ!N:N,INT((ROW()-ROW($G$12))/3)+8),"")</f>
        <v>0</v>
      </c>
      <c r="P193" s="73">
        <f t="array" ref="P193">IF(MOD(ROW()-ROW($G$12),3)=1,INDEX(PSAJ!O:O,INT((ROW()-ROW($G$12))/3)+8),"")</f>
        <v>0</v>
      </c>
      <c r="Q193" s="73">
        <f t="array" ref="Q193">IF(MOD(ROW()-ROW($G$12),3)=1,INDEX(PSAJ!P:P,INT((ROW()-ROW($G$12))/3)+8),"")</f>
        <v>0</v>
      </c>
      <c r="R193" s="73">
        <f t="array" ref="R193">IF(MOD(ROW()-ROW($G$12),3)=1,INDEX(PSAJ!Q:Q,INT((ROW()-ROW($G$12))/3)+8),"")</f>
        <v>0</v>
      </c>
      <c r="S193" s="73">
        <f t="array" ref="S193">IF(MOD(ROW()-ROW($G$12),3)=1,INDEX(PSAJ!R:R,INT((ROW()-ROW($G$12))/3)+8),"")</f>
        <v>0</v>
      </c>
      <c r="T193" s="73">
        <f t="array" ref="T193">IF(MOD(ROW()-ROW($G$12),3)=1,INDEX(PSAJ!S:S,INT((ROW()-ROW($G$12))/3)+8),"")</f>
        <v>0</v>
      </c>
      <c r="U193" s="73">
        <v>0</v>
      </c>
      <c r="V193" s="73">
        <f t="array" ref="V193">IF(MOD(ROW()-ROW($G$12),3)=1,INDEX(PSAJ!T:T,INT((ROW()-ROW($G$12))/3)+8),"")</f>
        <v>0</v>
      </c>
      <c r="W193" s="73">
        <f t="shared" si="181"/>
        <v>0</v>
      </c>
      <c r="X193" s="73">
        <f>IF(MOD(ROW()-ROW($X$12),3)&lt;&gt;2,ROUND(W193/15,2),"")</f>
        <v>0</v>
      </c>
      <c r="Y193" s="70"/>
      <c r="Z193" s="75"/>
      <c r="AA193" s="56"/>
      <c r="AB193" s="56"/>
      <c r="AC193" s="56"/>
      <c r="AD193" s="56"/>
      <c r="AE193" s="56"/>
    </row>
    <row r="194" spans="1:31" ht="14.5">
      <c r="A194" s="70"/>
      <c r="B194" s="70"/>
      <c r="C194" s="70"/>
      <c r="D194" s="71"/>
      <c r="E194" s="70"/>
      <c r="F194" s="76" t="s">
        <v>135</v>
      </c>
      <c r="G194" s="77">
        <f t="shared" ref="G194:T194" si="182">IF(MOD(ROW()-ROW($G$12),3)=2,((INDEX(G:G,ROW()-2)*$AC$4)+(INDEX(G:G,ROW()-1)*$AE$4))/$AD$5,"")</f>
        <v>0</v>
      </c>
      <c r="H194" s="77">
        <f t="shared" si="182"/>
        <v>0</v>
      </c>
      <c r="I194" s="77">
        <f t="shared" si="182"/>
        <v>0</v>
      </c>
      <c r="J194" s="77">
        <f t="shared" si="182"/>
        <v>0</v>
      </c>
      <c r="K194" s="77">
        <f t="shared" si="182"/>
        <v>0</v>
      </c>
      <c r="L194" s="77">
        <f t="shared" si="182"/>
        <v>0</v>
      </c>
      <c r="M194" s="77">
        <f t="shared" si="182"/>
        <v>0</v>
      </c>
      <c r="N194" s="77">
        <f t="shared" si="182"/>
        <v>0</v>
      </c>
      <c r="O194" s="77">
        <f t="shared" si="182"/>
        <v>0</v>
      </c>
      <c r="P194" s="77">
        <f t="shared" si="182"/>
        <v>0</v>
      </c>
      <c r="Q194" s="77">
        <f t="shared" si="182"/>
        <v>0</v>
      </c>
      <c r="R194" s="77">
        <f t="shared" si="182"/>
        <v>0</v>
      </c>
      <c r="S194" s="77">
        <f t="shared" si="182"/>
        <v>0</v>
      </c>
      <c r="T194" s="77">
        <f t="shared" si="182"/>
        <v>0</v>
      </c>
      <c r="U194" s="77">
        <f t="array" ref="U194">IF(MOD(ROW()-ROW($U$12),3)=2,N(INDEX(U:U,ROW()-2)),0)</f>
        <v>0</v>
      </c>
      <c r="V194" s="77">
        <f>IF(MOD(ROW()-ROW($G$12),3)=2,((INDEX(V:V,ROW()-2)*$AC$4)+(INDEX(V:V,ROW()-1)*$AE$4))/$AD$5,"")</f>
        <v>0</v>
      </c>
      <c r="W194" s="77">
        <f>IF(MOD(ROW()-ROW($G$12),3)=2,((INDEX(W:W,ROW()-2)*$AC$4)+(INDEX(W:W,ROW()-1)*$AE$4))/$AD$5,"")</f>
        <v>0</v>
      </c>
      <c r="X194" s="77">
        <f>IF(MOD(ROW()-ROW($G$12),3)=2,((INDEX(X:X,ROW()-2)*$AC$4)+(INDEX(X:X,ROW()-1)*$AE$4))/$AD$5,"")</f>
        <v>0</v>
      </c>
      <c r="Y194" s="78"/>
      <c r="Z194" s="77"/>
      <c r="AA194" s="56"/>
      <c r="AB194" s="56"/>
      <c r="AC194" s="56"/>
      <c r="AD194" s="56"/>
      <c r="AE194" s="56"/>
    </row>
    <row r="195" spans="1:31" ht="14.5">
      <c r="A195" s="70">
        <f t="shared" ref="A195:A196" si="183">IF(MOD(ROW()-12,3)=0,INT((ROW()-12)/3)+1,"")</f>
        <v>62</v>
      </c>
      <c r="B195" s="70">
        <f t="array" ref="B195">IF(MOD(ROW()-ROW($B$12),3)=0,INDEX(BIODATA!B:B,INT((ROW()-ROW($B$12))/3)+24),"")</f>
        <v>0</v>
      </c>
      <c r="C195" s="70">
        <f t="array" ref="C195">IF(MOD(ROW()-ROW($B$12),3)=0,INDEX(BIODATA!C:C,INT((ROW()-ROW($B$12))/3)+24),"")</f>
        <v>0</v>
      </c>
      <c r="D195" s="71">
        <f t="array" ref="D195">IF(MOD(ROW()-ROW($B$12),3)=0,INDEX(BIODATA!D:D,INT((ROW()-ROW($B$12))/3)+24),"")</f>
        <v>0</v>
      </c>
      <c r="E195" s="70">
        <f t="array" ref="E195">IF(MOD(ROW()-ROW($B$12),3)=0,INDEX(BIODATA!H:H,INT((ROW()-ROW($B$12))/3)+24),"")</f>
        <v>0</v>
      </c>
      <c r="F195" s="72" t="s">
        <v>134</v>
      </c>
      <c r="G195" s="73">
        <f t="array" ref="G195">IF(MOD(ROW()-ROW($G$12),3)=0,INDEX(RR!L:L,INT((ROW()-ROW($G$12))/3)+9),"")</f>
        <v>0</v>
      </c>
      <c r="H195" s="73">
        <f t="array" ref="H195">IF(MOD(ROW()-ROW($H$12),3)=0,INDEX(RR!R:R,INT((ROW()-ROW($H$12))/3)+9),"")</f>
        <v>0</v>
      </c>
      <c r="I195" s="73">
        <f t="array" ref="I195">IF(MOD(ROW()-ROW($I$12),3)=0,INDEX(RR!X:X,INT((ROW()-ROW($I$12))/3)+9),"")</f>
        <v>0</v>
      </c>
      <c r="J195" s="73">
        <f t="array" ref="J195">IF(MOD(ROW()-ROW($I$12),3)=0,INDEX(RR!AC:AC,INT((ROW()-ROW($I$12))/3)+9),"")</f>
        <v>0</v>
      </c>
      <c r="K195" s="73">
        <f t="array" ref="K195">IF(MOD(ROW()-ROW($I$12),3)=0,INDEX(RR!AH:AH,INT((ROW()-ROW($I$12))/3)+9),"")</f>
        <v>0</v>
      </c>
      <c r="L195" s="73">
        <f t="array" ref="L195">IF(MOD(ROW()-ROW($I$12),3)=0,INDEX(RR!AK:AK,INT((ROW()-ROW($I$12))/3)+9),"")</f>
        <v>0</v>
      </c>
      <c r="M195" s="73">
        <f t="array" ref="M195">IF(MOD(ROW()-ROW($I$12),3)=0,INDEX(RR!AQ:AQ,INT((ROW()-ROW($I$12))/3)+9),"")</f>
        <v>0</v>
      </c>
      <c r="N195" s="73">
        <f t="array" ref="N195">IF(MOD(ROW()-ROW($I$12),3)=0,INDEX(RR!AW:AW,INT((ROW()-ROW($I$12))/3)+9),"")</f>
        <v>0</v>
      </c>
      <c r="O195" s="73">
        <f t="array" ref="O195">IF(MOD(ROW()-ROW($I$12),3)=0,INDEX(RR!BB:BB,INT((ROW()-ROW($I$12))/3)+9),"")</f>
        <v>0</v>
      </c>
      <c r="P195" s="73">
        <f t="array" ref="P195">IF(MOD(ROW()-ROW($I$12),3)=0,INDEX(RR!BF:BF,INT((ROW()-ROW($I$12))/3)+9),"")</f>
        <v>0</v>
      </c>
      <c r="Q195" s="73">
        <f t="array" ref="Q195">IF(MOD(ROW()-ROW($I$12),3)=0,INDEX(RR!BI:BI,INT((ROW()-ROW($I$12))/3)+9),"")</f>
        <v>0</v>
      </c>
      <c r="R195" s="73">
        <f t="array" ref="R195">IF(MOD(ROW()-ROW($I$12),3)=0,INDEX(RR!BL:BL,INT((ROW()-ROW($I$12))/3)+9),"")</f>
        <v>0</v>
      </c>
      <c r="S195" s="73">
        <f t="array" ref="S195">IF(MOD(ROW()-ROW($I$12),3)=0,INDEX(RR!BP:BP,INT((ROW()-ROW($I$12))/3)+9),"")</f>
        <v>0</v>
      </c>
      <c r="T195" s="73">
        <f t="array" ref="T195">IF(MOD(ROW()-ROW($I$12),3)=0,INDEX(RR!BT:BT,INT((ROW()-ROW($I$12))/3)+9),"")</f>
        <v>0</v>
      </c>
      <c r="U195" s="73">
        <f t="array" ref="U195">IF(MOD(ROW()-ROW($I$12),3)=0,INDEX(RR!BV:BV,INT((ROW()-ROW($I$12))/3)+9),"")</f>
        <v>0</v>
      </c>
      <c r="V195" s="73">
        <f t="array" ref="V195">IF(MOD(ROW()-ROW($I$12),3)=0,INDEX(RR!BZ:BZ,INT((ROW()-ROW($I$12))/3)+9),"")</f>
        <v>0</v>
      </c>
      <c r="W195" s="73">
        <f t="shared" ref="W195:W196" si="184">IF(MOD(ROW()-ROW($W$12),3)&lt;&gt;2,SUM(G195:V195),"")</f>
        <v>0</v>
      </c>
      <c r="X195" s="73">
        <f>IF(MOD(ROW()-ROW($X$12),3)&lt;&gt;2,ROUND(W195/16,2),"")</f>
        <v>0</v>
      </c>
      <c r="Y195" s="70"/>
      <c r="Z195" s="74" t="str">
        <f t="array" ref="Z195">IF(MOD(ROW()-ROW($Z$12),3)=0,IF(INDEX(X:X,ROW()+2)&gt;=$AC$9,"L","TL"),"")</f>
        <v>TL</v>
      </c>
      <c r="AA195" s="56"/>
      <c r="AB195" s="56"/>
      <c r="AC195" s="56"/>
      <c r="AD195" s="56"/>
      <c r="AE195" s="56"/>
    </row>
    <row r="196" spans="1:31" ht="14.5">
      <c r="A196" s="70" t="str">
        <f t="shared" si="183"/>
        <v/>
      </c>
      <c r="B196" s="70" t="str">
        <f t="array" ref="B196">IF(MOD(ROW()-ROW($B$12),3)=0,INDEX(BIODATA!B:B,INT((ROW()-ROW($B$12))/3)+24),"")</f>
        <v/>
      </c>
      <c r="C196" s="70"/>
      <c r="D196" s="71"/>
      <c r="E196" s="70"/>
      <c r="F196" s="72" t="s">
        <v>105</v>
      </c>
      <c r="G196" s="73">
        <f t="array" ref="G196">IF(MOD(ROW()-ROW($G$12),3)=1,INDEX(PSAJ!F:F,INT((ROW()-ROW($G$12))/3)+8),"")</f>
        <v>0</v>
      </c>
      <c r="H196" s="73">
        <f t="array" ref="H196">IF(MOD(ROW()-ROW($G$12),3)=1,INDEX(PSAJ!G:G,INT((ROW()-ROW($G$12))/3)+8),"")</f>
        <v>0</v>
      </c>
      <c r="I196" s="73">
        <f t="array" ref="I196">IF(MOD(ROW()-ROW($G$12),3)=1,INDEX(PSAJ!H:H,INT((ROW()-ROW($G$12))/3)+8),"")</f>
        <v>0</v>
      </c>
      <c r="J196" s="73">
        <f t="array" ref="J196">IF(MOD(ROW()-ROW($G$12),3)=1,INDEX(PSAJ!I:I,INT((ROW()-ROW($G$12))/3)+8),"")</f>
        <v>0</v>
      </c>
      <c r="K196" s="73">
        <f t="array" ref="K196">IF(MOD(ROW()-ROW($G$12),3)=1,INDEX(PSAJ!J:J,INT((ROW()-ROW($G$12))/3)+8),"")</f>
        <v>0</v>
      </c>
      <c r="L196" s="73">
        <f t="array" ref="L196">IF(MOD(ROW()-ROW($G$12),3)=1,INDEX(PSAJ!K:K,INT((ROW()-ROW($G$12))/3)+8),"")</f>
        <v>0</v>
      </c>
      <c r="M196" s="73">
        <f t="array" ref="M196">IF(MOD(ROW()-ROW($G$12),3)=1,INDEX(PSAJ!L:L,INT((ROW()-ROW($G$12))/3)+8),"")</f>
        <v>0</v>
      </c>
      <c r="N196" s="73">
        <f t="array" ref="N196">IF(MOD(ROW()-ROW($G$12),3)=1,INDEX(PSAJ!M:M,INT((ROW()-ROW($G$12))/3)+8),"")</f>
        <v>0</v>
      </c>
      <c r="O196" s="73">
        <f t="array" ref="O196">IF(MOD(ROW()-ROW($G$12),3)=1,INDEX(PSAJ!N:N,INT((ROW()-ROW($G$12))/3)+8),"")</f>
        <v>0</v>
      </c>
      <c r="P196" s="73">
        <f t="array" ref="P196">IF(MOD(ROW()-ROW($G$12),3)=1,INDEX(PSAJ!O:O,INT((ROW()-ROW($G$12))/3)+8),"")</f>
        <v>0</v>
      </c>
      <c r="Q196" s="73">
        <f t="array" ref="Q196">IF(MOD(ROW()-ROW($G$12),3)=1,INDEX(PSAJ!P:P,INT((ROW()-ROW($G$12))/3)+8),"")</f>
        <v>0</v>
      </c>
      <c r="R196" s="73">
        <f t="array" ref="R196">IF(MOD(ROW()-ROW($G$12),3)=1,INDEX(PSAJ!Q:Q,INT((ROW()-ROW($G$12))/3)+8),"")</f>
        <v>0</v>
      </c>
      <c r="S196" s="73">
        <f t="array" ref="S196">IF(MOD(ROW()-ROW($G$12),3)=1,INDEX(PSAJ!R:R,INT((ROW()-ROW($G$12))/3)+8),"")</f>
        <v>0</v>
      </c>
      <c r="T196" s="73">
        <f t="array" ref="T196">IF(MOD(ROW()-ROW($G$12),3)=1,INDEX(PSAJ!S:S,INT((ROW()-ROW($G$12))/3)+8),"")</f>
        <v>0</v>
      </c>
      <c r="U196" s="73">
        <v>0</v>
      </c>
      <c r="V196" s="73">
        <f t="array" ref="V196">IF(MOD(ROW()-ROW($G$12),3)=1,INDEX(PSAJ!T:T,INT((ROW()-ROW($G$12))/3)+8),"")</f>
        <v>0</v>
      </c>
      <c r="W196" s="73">
        <f t="shared" si="184"/>
        <v>0</v>
      </c>
      <c r="X196" s="73">
        <f>IF(MOD(ROW()-ROW($X$12),3)&lt;&gt;2,ROUND(W196/15,2),"")</f>
        <v>0</v>
      </c>
      <c r="Y196" s="70"/>
      <c r="Z196" s="75"/>
      <c r="AA196" s="56"/>
      <c r="AB196" s="56"/>
      <c r="AC196" s="56"/>
      <c r="AD196" s="56"/>
      <c r="AE196" s="56"/>
    </row>
    <row r="197" spans="1:31" ht="14.5">
      <c r="A197" s="70"/>
      <c r="B197" s="70"/>
      <c r="C197" s="70"/>
      <c r="D197" s="71"/>
      <c r="E197" s="70"/>
      <c r="F197" s="76" t="s">
        <v>135</v>
      </c>
      <c r="G197" s="77">
        <f t="shared" ref="G197:T197" si="185">IF(MOD(ROW()-ROW($G$12),3)=2,((INDEX(G:G,ROW()-2)*$AC$4)+(INDEX(G:G,ROW()-1)*$AE$4))/$AD$5,"")</f>
        <v>0</v>
      </c>
      <c r="H197" s="77">
        <f t="shared" si="185"/>
        <v>0</v>
      </c>
      <c r="I197" s="77">
        <f t="shared" si="185"/>
        <v>0</v>
      </c>
      <c r="J197" s="77">
        <f t="shared" si="185"/>
        <v>0</v>
      </c>
      <c r="K197" s="77">
        <f t="shared" si="185"/>
        <v>0</v>
      </c>
      <c r="L197" s="77">
        <f t="shared" si="185"/>
        <v>0</v>
      </c>
      <c r="M197" s="77">
        <f t="shared" si="185"/>
        <v>0</v>
      </c>
      <c r="N197" s="77">
        <f t="shared" si="185"/>
        <v>0</v>
      </c>
      <c r="O197" s="77">
        <f t="shared" si="185"/>
        <v>0</v>
      </c>
      <c r="P197" s="77">
        <f t="shared" si="185"/>
        <v>0</v>
      </c>
      <c r="Q197" s="77">
        <f t="shared" si="185"/>
        <v>0</v>
      </c>
      <c r="R197" s="77">
        <f t="shared" si="185"/>
        <v>0</v>
      </c>
      <c r="S197" s="77">
        <f t="shared" si="185"/>
        <v>0</v>
      </c>
      <c r="T197" s="77">
        <f t="shared" si="185"/>
        <v>0</v>
      </c>
      <c r="U197" s="77">
        <f t="array" ref="U197">IF(MOD(ROW()-ROW($U$12),3)=2,N(INDEX(U:U,ROW()-2)),0)</f>
        <v>0</v>
      </c>
      <c r="V197" s="77">
        <f>IF(MOD(ROW()-ROW($G$12),3)=2,((INDEX(V:V,ROW()-2)*$AC$4)+(INDEX(V:V,ROW()-1)*$AE$4))/$AD$5,"")</f>
        <v>0</v>
      </c>
      <c r="W197" s="77">
        <f>IF(MOD(ROW()-ROW($G$12),3)=2,((INDEX(W:W,ROW()-2)*$AC$4)+(INDEX(W:W,ROW()-1)*$AE$4))/$AD$5,"")</f>
        <v>0</v>
      </c>
      <c r="X197" s="77">
        <f>IF(MOD(ROW()-ROW($G$12),3)=2,((INDEX(X:X,ROW()-2)*$AC$4)+(INDEX(X:X,ROW()-1)*$AE$4))/$AD$5,"")</f>
        <v>0</v>
      </c>
      <c r="Y197" s="78"/>
      <c r="Z197" s="77"/>
      <c r="AA197" s="56"/>
      <c r="AB197" s="56"/>
      <c r="AC197" s="56"/>
      <c r="AD197" s="56"/>
      <c r="AE197" s="56"/>
    </row>
    <row r="198" spans="1:31" ht="14.5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79"/>
      <c r="X198" s="79"/>
      <c r="Y198" s="79"/>
      <c r="Z198" s="79"/>
      <c r="AA198" s="56"/>
      <c r="AB198" s="56"/>
      <c r="AC198" s="56"/>
      <c r="AD198" s="56"/>
      <c r="AE198" s="56"/>
    </row>
    <row r="199" spans="1:31" ht="14.5">
      <c r="A199" s="56"/>
      <c r="B199" s="56"/>
      <c r="C199" s="56"/>
      <c r="D199" s="56" t="s">
        <v>35</v>
      </c>
      <c r="E199" s="56"/>
      <c r="F199" s="56"/>
      <c r="G199" s="80"/>
      <c r="H199" s="81"/>
      <c r="I199" s="56"/>
      <c r="J199" s="56"/>
      <c r="K199" s="34"/>
      <c r="L199" s="34"/>
      <c r="M199" s="34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</row>
    <row r="200" spans="1:31" ht="14.5">
      <c r="A200" s="56"/>
      <c r="B200" s="56"/>
      <c r="C200" s="56"/>
      <c r="D200" s="56" t="s">
        <v>37</v>
      </c>
      <c r="E200" s="56"/>
      <c r="F200" s="56"/>
      <c r="G200" s="80"/>
      <c r="H200" s="81"/>
      <c r="I200" s="56"/>
      <c r="J200" s="56"/>
      <c r="K200" s="34"/>
      <c r="L200" s="34"/>
      <c r="M200" s="151" t="s">
        <v>38</v>
      </c>
      <c r="N200" s="150"/>
      <c r="O200" s="56"/>
      <c r="P200" s="56"/>
      <c r="Q200" s="56"/>
      <c r="R200" s="56"/>
      <c r="S200" s="56"/>
      <c r="T200" s="56"/>
      <c r="U200" s="56"/>
      <c r="V200" s="56"/>
      <c r="W200" s="196" t="s">
        <v>41</v>
      </c>
      <c r="X200" s="150"/>
      <c r="Y200" s="56"/>
      <c r="Z200" s="56"/>
      <c r="AA200" s="56"/>
      <c r="AB200" s="56"/>
      <c r="AC200" s="56"/>
      <c r="AD200" s="56"/>
      <c r="AE200" s="56"/>
    </row>
    <row r="201" spans="1:31" ht="14.5">
      <c r="A201" s="56"/>
      <c r="B201" s="56"/>
      <c r="C201" s="56"/>
      <c r="D201" s="151" t="s">
        <v>39</v>
      </c>
      <c r="E201" s="150"/>
      <c r="F201" s="56"/>
      <c r="G201" s="56"/>
      <c r="H201" s="81"/>
      <c r="I201" s="56"/>
      <c r="J201" s="56"/>
      <c r="K201" s="34"/>
      <c r="L201" s="34"/>
      <c r="M201" s="151" t="s">
        <v>40</v>
      </c>
      <c r="N201" s="150"/>
      <c r="O201" s="56"/>
      <c r="P201" s="56"/>
      <c r="Q201" s="56"/>
      <c r="R201" s="56"/>
      <c r="S201" s="56"/>
      <c r="T201" s="56"/>
      <c r="U201" s="56"/>
      <c r="V201" s="56"/>
      <c r="W201" s="80"/>
      <c r="X201" s="56"/>
      <c r="Y201" s="56"/>
      <c r="Z201" s="56"/>
      <c r="AA201" s="56"/>
      <c r="AB201" s="56"/>
      <c r="AC201" s="56"/>
      <c r="AD201" s="56"/>
      <c r="AE201" s="56"/>
    </row>
    <row r="202" spans="1:31" ht="14.5">
      <c r="A202" s="56"/>
      <c r="B202" s="56"/>
      <c r="C202" s="56"/>
      <c r="D202" s="56"/>
      <c r="E202" s="56"/>
      <c r="F202" s="56"/>
      <c r="G202" s="56"/>
      <c r="H202" s="81"/>
      <c r="I202" s="56"/>
      <c r="J202" s="56"/>
      <c r="K202" s="34"/>
      <c r="L202" s="34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80"/>
      <c r="X202" s="56"/>
      <c r="Y202" s="56"/>
      <c r="Z202" s="56"/>
      <c r="AA202" s="56"/>
      <c r="AB202" s="56"/>
      <c r="AC202" s="56"/>
      <c r="AD202" s="56"/>
      <c r="AE202" s="56"/>
    </row>
    <row r="203" spans="1:31" ht="14.5">
      <c r="A203" s="56"/>
      <c r="B203" s="56"/>
      <c r="C203" s="56"/>
      <c r="D203" s="56"/>
      <c r="E203" s="56"/>
      <c r="F203" s="56"/>
      <c r="G203" s="56"/>
      <c r="H203" s="81"/>
      <c r="I203" s="56"/>
      <c r="J203" s="56"/>
      <c r="K203" s="34"/>
      <c r="L203" s="34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80"/>
      <c r="X203" s="56"/>
      <c r="Y203" s="56"/>
      <c r="Z203" s="56"/>
      <c r="AA203" s="56"/>
      <c r="AB203" s="56"/>
      <c r="AC203" s="56"/>
      <c r="AD203" s="56"/>
      <c r="AE203" s="56"/>
    </row>
    <row r="204" spans="1:31" ht="14.5">
      <c r="A204" s="56"/>
      <c r="B204" s="56"/>
      <c r="C204" s="56"/>
      <c r="D204" s="56"/>
      <c r="E204" s="56"/>
      <c r="F204" s="56"/>
      <c r="G204" s="56"/>
      <c r="H204" s="81"/>
      <c r="I204" s="56"/>
      <c r="J204" s="56"/>
      <c r="K204" s="34"/>
      <c r="L204" s="34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80"/>
      <c r="X204" s="56"/>
      <c r="Y204" s="56"/>
      <c r="Z204" s="56"/>
      <c r="AA204" s="56"/>
      <c r="AB204" s="56"/>
      <c r="AC204" s="56"/>
      <c r="AD204" s="56"/>
      <c r="AE204" s="56"/>
    </row>
    <row r="205" spans="1:31" ht="14.5">
      <c r="A205" s="56"/>
      <c r="B205" s="56"/>
      <c r="C205" s="56"/>
      <c r="D205" s="56"/>
      <c r="E205" s="56"/>
      <c r="F205" s="56"/>
      <c r="G205" s="56"/>
      <c r="H205" s="81"/>
      <c r="I205" s="56"/>
      <c r="J205" s="56"/>
      <c r="K205" s="34"/>
      <c r="L205" s="34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80"/>
      <c r="X205" s="56"/>
      <c r="Y205" s="56"/>
      <c r="Z205" s="56"/>
      <c r="AA205" s="56"/>
      <c r="AB205" s="56"/>
      <c r="AC205" s="56"/>
      <c r="AD205" s="56"/>
      <c r="AE205" s="56"/>
    </row>
    <row r="206" spans="1:31" ht="14.5">
      <c r="A206" s="56"/>
      <c r="B206" s="56"/>
      <c r="C206" s="56"/>
      <c r="D206" s="56"/>
      <c r="E206" s="56"/>
      <c r="F206" s="56"/>
      <c r="G206" s="56"/>
      <c r="H206" s="81"/>
      <c r="I206" s="56"/>
      <c r="J206" s="56"/>
      <c r="K206" s="34"/>
      <c r="L206" s="34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80"/>
      <c r="X206" s="56"/>
      <c r="Y206" s="56"/>
      <c r="Z206" s="56"/>
      <c r="AA206" s="56"/>
      <c r="AB206" s="56"/>
      <c r="AC206" s="56"/>
      <c r="AD206" s="56"/>
      <c r="AE206" s="56"/>
    </row>
    <row r="207" spans="1:31" ht="14.5">
      <c r="A207" s="56"/>
      <c r="B207" s="56"/>
      <c r="C207" s="56"/>
      <c r="D207" s="56"/>
      <c r="E207" s="56"/>
      <c r="F207" s="56"/>
      <c r="G207" s="56"/>
      <c r="H207" s="82"/>
      <c r="I207" s="56"/>
      <c r="J207" s="56"/>
      <c r="K207" s="34"/>
      <c r="L207" s="34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</row>
    <row r="208" spans="1:31" ht="14.5">
      <c r="A208" s="56"/>
      <c r="B208" s="56"/>
      <c r="C208" s="56"/>
      <c r="D208" s="83" t="str">
        <f>BIODATA!D18</f>
        <v>Pinky Hidayati, S.Psi., M.Psi.</v>
      </c>
      <c r="E208" s="56"/>
      <c r="F208" s="56"/>
      <c r="G208" s="56"/>
      <c r="H208" s="84"/>
      <c r="I208" s="56"/>
      <c r="J208" s="56"/>
      <c r="K208" s="34"/>
      <c r="L208" s="56"/>
      <c r="M208" s="199" t="str">
        <f>BIODATA!D16</f>
        <v>Arini Hidayati, S.Pd., M.Pd</v>
      </c>
      <c r="N208" s="150"/>
      <c r="O208" s="150"/>
      <c r="P208" s="150"/>
      <c r="Q208" s="150"/>
      <c r="R208" s="56"/>
      <c r="S208" s="56"/>
      <c r="T208" s="56"/>
      <c r="U208" s="56"/>
      <c r="V208" s="56"/>
      <c r="W208" s="198" t="str">
        <f>BIODATA!D14</f>
        <v>Moh Junaedi Hartanto, S.Pd</v>
      </c>
      <c r="X208" s="150"/>
      <c r="Y208" s="150"/>
      <c r="Z208" s="56"/>
      <c r="AA208" s="56"/>
      <c r="AB208" s="56"/>
      <c r="AC208" s="56"/>
      <c r="AD208" s="56"/>
      <c r="AE208" s="56"/>
    </row>
    <row r="209" spans="1:31" ht="14.5">
      <c r="A209" s="56"/>
      <c r="B209" s="56"/>
      <c r="C209" s="56"/>
      <c r="D209" s="56" t="str">
        <f>"NIP. " &amp;  BIODATA!D19</f>
        <v>NIP. 19710101 200012 1 007</v>
      </c>
      <c r="E209" s="56"/>
      <c r="F209" s="56"/>
      <c r="G209" s="56"/>
      <c r="H209" s="81"/>
      <c r="I209" s="56"/>
      <c r="J209" s="56"/>
      <c r="K209" s="34"/>
      <c r="L209" s="56"/>
      <c r="M209" s="151" t="str">
        <f>"NIP. " &amp;  BIODATA!D17</f>
        <v>NIP. 19761212 199802 2001</v>
      </c>
      <c r="N209" s="150"/>
      <c r="O209" s="150"/>
      <c r="P209" s="150"/>
      <c r="Q209" s="56"/>
      <c r="R209" s="56"/>
      <c r="S209" s="56"/>
      <c r="T209" s="56"/>
      <c r="U209" s="56"/>
      <c r="V209" s="56"/>
      <c r="W209" s="196" t="str">
        <f>"NIP. " &amp;  BIODATA!D15</f>
        <v>NIP. -</v>
      </c>
      <c r="X209" s="150"/>
      <c r="Y209" s="150"/>
      <c r="Z209" s="56"/>
      <c r="AA209" s="56"/>
      <c r="AB209" s="56"/>
      <c r="AC209" s="56"/>
      <c r="AD209" s="56"/>
      <c r="AE209" s="56"/>
    </row>
    <row r="210" spans="1:31" ht="14.5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</row>
    <row r="211" spans="1:31" ht="14.5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</row>
    <row r="212" spans="1:31" ht="14.5">
      <c r="A212" s="56"/>
      <c r="B212" s="56"/>
      <c r="C212" s="56"/>
      <c r="D212" s="56"/>
      <c r="E212" s="191" t="s">
        <v>136</v>
      </c>
      <c r="F212" s="150"/>
      <c r="G212" s="150"/>
      <c r="H212" s="150"/>
      <c r="I212" s="150"/>
      <c r="J212" s="150"/>
      <c r="K212" s="150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</row>
    <row r="213" spans="1:31" ht="14.5">
      <c r="A213" s="56"/>
      <c r="B213" s="56"/>
      <c r="C213" s="56"/>
      <c r="D213" s="56"/>
      <c r="E213" s="191" t="s">
        <v>137</v>
      </c>
      <c r="F213" s="150"/>
      <c r="G213" s="150"/>
      <c r="H213" s="150"/>
      <c r="I213" s="150"/>
      <c r="J213" s="150"/>
      <c r="K213" s="150"/>
      <c r="L213" s="150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</row>
    <row r="214" spans="1:31" ht="14.5">
      <c r="A214" s="56"/>
      <c r="B214" s="56"/>
      <c r="C214" s="56"/>
      <c r="D214" s="56"/>
      <c r="E214" s="191" t="s">
        <v>138</v>
      </c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</row>
    <row r="215" spans="1:31" ht="14.5">
      <c r="A215" s="56"/>
      <c r="B215" s="56"/>
      <c r="C215" s="56"/>
      <c r="D215" s="56"/>
      <c r="E215" s="191" t="s">
        <v>139</v>
      </c>
      <c r="F215" s="150"/>
      <c r="G215" s="150"/>
      <c r="H215" s="150"/>
      <c r="I215" s="150"/>
      <c r="J215" s="150"/>
      <c r="K215" s="150"/>
      <c r="L215" s="150"/>
      <c r="M215" s="150"/>
      <c r="N215" s="150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</row>
    <row r="216" spans="1:31" ht="14.5">
      <c r="A216" s="56"/>
      <c r="B216" s="56"/>
      <c r="C216" s="56"/>
      <c r="D216" s="56"/>
      <c r="E216" s="191" t="s">
        <v>140</v>
      </c>
      <c r="F216" s="150"/>
      <c r="G216" s="150"/>
      <c r="H216" s="150"/>
      <c r="I216" s="150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</row>
    <row r="217" spans="1:31" ht="14.5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</row>
    <row r="218" spans="1:31" ht="14.5">
      <c r="A218" s="192" t="s">
        <v>141</v>
      </c>
      <c r="B218" s="150"/>
      <c r="C218" s="150"/>
      <c r="D218" s="150"/>
      <c r="E218" s="150"/>
      <c r="F218" s="85" t="s">
        <v>134</v>
      </c>
      <c r="G218" s="86">
        <f ca="1">IFERROR(__xludf.DUMMYFUNCTION("IFERROR(MAX(FILTER(G12:G444,MOD(ROW(G12:G444)-ROW(G12),3)=0)),"""")"),78.2)</f>
        <v>78.2</v>
      </c>
      <c r="H218" s="86">
        <f ca="1">IFERROR(__xludf.DUMMYFUNCTION("IFERROR(MAX(FILTER(H12:H444,MOD(ROW(H12:H444)-ROW(H12),3)=0)),"""")"),87.4)</f>
        <v>87.4</v>
      </c>
      <c r="I218" s="86">
        <f ca="1">IFERROR(__xludf.DUMMYFUNCTION("IFERROR(MAX(FILTER(I12:I444,MOD(ROW(I12:I444)-ROW(I12),3)=0)),"""")"),85)</f>
        <v>85</v>
      </c>
      <c r="J218" s="86">
        <f ca="1">IFERROR(__xludf.DUMMYFUNCTION("IFERROR(MAX(FILTER(J12:J444,MOD(ROW(J12:J444)-ROW(J12),3)=0)),"""")"),86)</f>
        <v>86</v>
      </c>
      <c r="K218" s="86">
        <f ca="1">IFERROR(__xludf.DUMMYFUNCTION("IFERROR(MAX(FILTER(K12:K444,MOD(ROW(K12:K444)-ROW(K12),3)=0)),"""")"),92.5)</f>
        <v>92.5</v>
      </c>
      <c r="L218" s="86">
        <f ca="1">IFERROR(__xludf.DUMMYFUNCTION("IFERROR(MAX(FILTER(L12:L444,MOD(ROW(L12:L444)-ROW(L12),3)=0)),"""")"),89)</f>
        <v>89</v>
      </c>
      <c r="M218" s="86">
        <f ca="1">IFERROR(__xludf.DUMMYFUNCTION("IFERROR(MAX(FILTER(M12:M444,MOD(ROW(M12:M444)-ROW(M12),3)=0)),"""")"),89)</f>
        <v>89</v>
      </c>
      <c r="N218" s="86">
        <f ca="1">IFERROR(__xludf.DUMMYFUNCTION("IFERROR(MAX(FILTER(N12:N444,MOD(ROW(N12:N444)-ROW(N12),3)=0)),"""")"),90.2)</f>
        <v>90.2</v>
      </c>
      <c r="O218" s="86">
        <f ca="1">IFERROR(__xludf.DUMMYFUNCTION("IFERROR(MAX(FILTER(O12:O444,MOD(ROW(O12:O444)-ROW(O12),3)=0)),"""")"),98)</f>
        <v>98</v>
      </c>
      <c r="P218" s="86">
        <f ca="1">IFERROR(__xludf.DUMMYFUNCTION("IFERROR(MAX(FILTER(P12:P444,MOD(ROW(P12:P444)-ROW(P12),3)=0)),"""")"),92)</f>
        <v>92</v>
      </c>
      <c r="Q218" s="86">
        <f ca="1">IFERROR(__xludf.DUMMYFUNCTION("IFERROR(MAX(FILTER(Q12:Q444,MOD(ROW(Q12:Q444)-ROW(Q12),3)=0)),"""")"),95)</f>
        <v>95</v>
      </c>
      <c r="R218" s="86">
        <f ca="1">IFERROR(__xludf.DUMMYFUNCTION("IFERROR(MAX(FILTER(R12:R444,MOD(ROW(R12:R444)-ROW(R12),3)=0)),"""")"),94)</f>
        <v>94</v>
      </c>
      <c r="S218" s="86">
        <f ca="1">IFERROR(__xludf.DUMMYFUNCTION("IFERROR(MAX(FILTER(S12:S444,MOD(ROW(S12:S444)-ROW(S12),3)=0)),"""")"),95)</f>
        <v>95</v>
      </c>
      <c r="T218" s="86">
        <f ca="1">IFERROR(__xludf.DUMMYFUNCTION("IFERROR(MAX(FILTER(T12:T444,MOD(ROW(T12:T444)-ROW(T12),3)=0)),"""")"),96)</f>
        <v>96</v>
      </c>
      <c r="U218" s="86">
        <f ca="1">IFERROR(__xludf.DUMMYFUNCTION("IFERROR(MAX(FILTER(U12:U444,MOD(ROW(U12:U444)-ROW(U12),3)=0)),"""")"),97)</f>
        <v>97</v>
      </c>
      <c r="V218" s="86">
        <f ca="1">IFERROR(__xludf.DUMMYFUNCTION("IFERROR(MAX(FILTER(V12:V444,MOD(ROW(V12:V444)-ROW(V12),3)=0)),"""")"),98)</f>
        <v>98</v>
      </c>
      <c r="W218" s="87"/>
      <c r="X218" s="87"/>
      <c r="Y218" s="189"/>
      <c r="Z218" s="190"/>
      <c r="AA218" s="56"/>
      <c r="AB218" s="56"/>
      <c r="AC218" s="56"/>
      <c r="AD218" s="56"/>
      <c r="AE218" s="56"/>
    </row>
    <row r="219" spans="1:31" ht="14.5">
      <c r="A219" s="150"/>
      <c r="B219" s="150"/>
      <c r="C219" s="150"/>
      <c r="D219" s="150"/>
      <c r="E219" s="150"/>
      <c r="F219" s="88" t="s">
        <v>105</v>
      </c>
      <c r="G219" s="89">
        <f ca="1">IFERROR(__xludf.DUMMYFUNCTION("IFERROR(MAX(FILTER(G13:G445,MOD(ROW(G13:G445)-ROW(G13),3)=0)),"""")"),75)</f>
        <v>75</v>
      </c>
      <c r="H219" s="89">
        <f ca="1">IFERROR(__xludf.DUMMYFUNCTION("IFERROR(MAX(FILTER(H13:H445,MOD(ROW(H13:H445)-ROW(H13),3)=0)),"""")"),76)</f>
        <v>76</v>
      </c>
      <c r="I219" s="89">
        <f ca="1">IFERROR(__xludf.DUMMYFUNCTION("IFERROR(MAX(FILTER(I13:I445,MOD(ROW(I13:I445)-ROW(I13),3)=0)),"""")"),77)</f>
        <v>77</v>
      </c>
      <c r="J219" s="89">
        <f ca="1">IFERROR(__xludf.DUMMYFUNCTION("IFERROR(MAX(FILTER(J13:J445,MOD(ROW(J13:J445)-ROW(J13),3)=0)),"""")"),78)</f>
        <v>78</v>
      </c>
      <c r="K219" s="89">
        <f ca="1">IFERROR(__xludf.DUMMYFUNCTION("IFERROR(MAX(FILTER(K13:K445,MOD(ROW(K13:K445)-ROW(K13),3)=0)),"""")"),79)</f>
        <v>79</v>
      </c>
      <c r="L219" s="89">
        <f ca="1">IFERROR(__xludf.DUMMYFUNCTION("IFERROR(MAX(FILTER(L13:L445,MOD(ROW(L13:L445)-ROW(L13),3)=0)),"""")"),80)</f>
        <v>80</v>
      </c>
      <c r="M219" s="89">
        <f ca="1">IFERROR(__xludf.DUMMYFUNCTION("IFERROR(MAX(FILTER(M13:M445,MOD(ROW(M13:M445)-ROW(M13),3)=0)),"""")"),81)</f>
        <v>81</v>
      </c>
      <c r="N219" s="89">
        <f ca="1">IFERROR(__xludf.DUMMYFUNCTION("IFERROR(MAX(FILTER(N13:N445,MOD(ROW(N13:N445)-ROW(N13),3)=0)),"""")"),82)</f>
        <v>82</v>
      </c>
      <c r="O219" s="89">
        <f ca="1">IFERROR(__xludf.DUMMYFUNCTION("IFERROR(MAX(FILTER(O13:O445,MOD(ROW(O13:O445)-ROW(O13),3)=0)),"""")"),83)</f>
        <v>83</v>
      </c>
      <c r="P219" s="89">
        <f ca="1">IFERROR(__xludf.DUMMYFUNCTION("IFERROR(MAX(FILTER(P13:P445,MOD(ROW(P13:P445)-ROW(P13),3)=0)),"""")"),84)</f>
        <v>84</v>
      </c>
      <c r="Q219" s="89">
        <f ca="1">IFERROR(__xludf.DUMMYFUNCTION("IFERROR(MAX(FILTER(Q13:Q445,MOD(ROW(Q13:Q445)-ROW(Q13),3)=0)),"""")"),85)</f>
        <v>85</v>
      </c>
      <c r="R219" s="89">
        <f ca="1">IFERROR(__xludf.DUMMYFUNCTION("IFERROR(MAX(FILTER(R13:R445,MOD(ROW(R13:R445)-ROW(R13),3)=0)),"""")"),86)</f>
        <v>86</v>
      </c>
      <c r="S219" s="89">
        <f ca="1">IFERROR(__xludf.DUMMYFUNCTION("IFERROR(MAX(FILTER(S13:S445,MOD(ROW(S13:S445)-ROW(S13),3)=0)),"""")"),87)</f>
        <v>87</v>
      </c>
      <c r="T219" s="89">
        <f ca="1">IFERROR(__xludf.DUMMYFUNCTION("IFERROR(MAX(FILTER(T13:T445,MOD(ROW(T13:T445)-ROW(T13),3)=0)),"""")"),88)</f>
        <v>88</v>
      </c>
      <c r="U219" s="89">
        <f ca="1">IFERROR(__xludf.DUMMYFUNCTION("IFERROR(MAX(FILTER(U13:U445,MOD(ROW(U13:U445)-ROW(U13),3)=0)),"""")"),0)</f>
        <v>0</v>
      </c>
      <c r="V219" s="89">
        <f ca="1">IFERROR(__xludf.DUMMYFUNCTION("IFERROR(MAX(FILTER(V13:V445,MOD(ROW(V13:V445)-ROW(V13),3)=0)),"""")"),89)</f>
        <v>89</v>
      </c>
      <c r="W219" s="90"/>
      <c r="X219" s="90"/>
      <c r="Y219" s="150"/>
      <c r="Z219" s="150"/>
      <c r="AA219" s="56"/>
      <c r="AB219" s="56"/>
      <c r="AC219" s="56"/>
      <c r="AD219" s="56"/>
      <c r="AE219" s="56"/>
    </row>
    <row r="220" spans="1:31" ht="14.5">
      <c r="A220" s="150"/>
      <c r="B220" s="150"/>
      <c r="C220" s="150"/>
      <c r="D220" s="150"/>
      <c r="E220" s="150"/>
      <c r="F220" s="91" t="s">
        <v>135</v>
      </c>
      <c r="G220" s="91">
        <f ca="1">IFERROR(__xludf.DUMMYFUNCTION("IFERROR(MAX(FILTER(G14:G446,MOD(ROW(G14:G446)-ROW(G14),3)=0)),"""")"),76.6)</f>
        <v>76.599999999999994</v>
      </c>
      <c r="H220" s="92">
        <f ca="1">IFERROR(__xludf.DUMMYFUNCTION("IFERROR(MAX(FILTER(H14:H446,MOD(ROW(H14:H446)-ROW(H14),3)=0)),"""")"),81.7)</f>
        <v>81.7</v>
      </c>
      <c r="I220" s="92">
        <f ca="1">IFERROR(__xludf.DUMMYFUNCTION("IFERROR(MAX(FILTER(I14:I446,MOD(ROW(I14:I446)-ROW(I14),3)=0)),"""")"),81)</f>
        <v>81</v>
      </c>
      <c r="J220" s="92">
        <f ca="1">IFERROR(__xludf.DUMMYFUNCTION("IFERROR(MAX(FILTER(J14:J446,MOD(ROW(J14:J446)-ROW(J14),3)=0)),"""")"),82)</f>
        <v>82</v>
      </c>
      <c r="K220" s="92">
        <f ca="1">IFERROR(__xludf.DUMMYFUNCTION("IFERROR(MAX(FILTER(K14:K446,MOD(ROW(K14:K446)-ROW(K14),3)=0)),"""")"),85.75)</f>
        <v>85.75</v>
      </c>
      <c r="L220" s="92">
        <f ca="1">IFERROR(__xludf.DUMMYFUNCTION("IFERROR(MAX(FILTER(L14:L446,MOD(ROW(L14:L446)-ROW(L14),3)=0)),"""")"),84.5)</f>
        <v>84.5</v>
      </c>
      <c r="M220" s="92">
        <f ca="1">IFERROR(__xludf.DUMMYFUNCTION("IFERROR(MAX(FILTER(M14:M446,MOD(ROW(M14:M446)-ROW(M14),3)=0)),"""")"),85)</f>
        <v>85</v>
      </c>
      <c r="N220" s="92">
        <f ca="1">IFERROR(__xludf.DUMMYFUNCTION("IFERROR(MAX(FILTER(N14:N446,MOD(ROW(N14:N446)-ROW(N14),3)=0)),"""")"),86.1)</f>
        <v>86.1</v>
      </c>
      <c r="O220" s="92">
        <f ca="1">IFERROR(__xludf.DUMMYFUNCTION("IFERROR(MAX(FILTER(O14:O446,MOD(ROW(O14:O446)-ROW(O14),3)=0)),"""")"),90.5)</f>
        <v>90.5</v>
      </c>
      <c r="P220" s="92">
        <f ca="1">IFERROR(__xludf.DUMMYFUNCTION("IFERROR(MAX(FILTER(P14:P446,MOD(ROW(P14:P446)-ROW(P14),3)=0)),"""")"),88)</f>
        <v>88</v>
      </c>
      <c r="Q220" s="92">
        <f ca="1">IFERROR(__xludf.DUMMYFUNCTION("IFERROR(MAX(FILTER(Q14:Q446,MOD(ROW(Q14:Q446)-ROW(Q14),3)=0)),"""")"),90)</f>
        <v>90</v>
      </c>
      <c r="R220" s="92">
        <f ca="1">IFERROR(__xludf.DUMMYFUNCTION("IFERROR(MAX(FILTER(R14:R446,MOD(ROW(R14:R446)-ROW(R14),3)=0)),"""")"),90)</f>
        <v>90</v>
      </c>
      <c r="S220" s="92">
        <f ca="1">IFERROR(__xludf.DUMMYFUNCTION("IFERROR(MAX(FILTER(S14:S446,MOD(ROW(S14:S446)-ROW(S14),3)=0)),"""")"),91)</f>
        <v>91</v>
      </c>
      <c r="T220" s="92">
        <f ca="1">IFERROR(__xludf.DUMMYFUNCTION("IFERROR(MAX(FILTER(T14:T446,MOD(ROW(T14:T446)-ROW(T14),3)=0)),"""")"),92)</f>
        <v>92</v>
      </c>
      <c r="U220" s="92">
        <f ca="1">IFERROR(__xludf.DUMMYFUNCTION("IFERROR(MAX(FILTER(U14:U446,MOD(ROW(U14:U446)-ROW(U14),3)=0)),"""")"),97)</f>
        <v>97</v>
      </c>
      <c r="V220" s="92">
        <f ca="1">IFERROR(__xludf.DUMMYFUNCTION("IFERROR(MAX(FILTER(V14:V446,MOD(ROW(V14:V446)-ROW(V14),3)=0)),"""")"),93.5)</f>
        <v>93.5</v>
      </c>
      <c r="W220" s="90"/>
      <c r="X220" s="90"/>
      <c r="Y220" s="150"/>
      <c r="Z220" s="150"/>
      <c r="AA220" s="56"/>
      <c r="AB220" s="56"/>
      <c r="AC220" s="56"/>
      <c r="AD220" s="56"/>
      <c r="AE220" s="56"/>
    </row>
    <row r="221" spans="1:31" ht="14.5">
      <c r="A221" s="193" t="s">
        <v>142</v>
      </c>
      <c r="B221" s="150"/>
      <c r="C221" s="150"/>
      <c r="D221" s="150"/>
      <c r="E221" s="150"/>
      <c r="F221" s="85" t="s">
        <v>134</v>
      </c>
      <c r="G221" s="86">
        <f ca="1">IFERROR(__xludf.DUMMYFUNCTION("IFERROR(MIN(FILTER(G12:G442,MOD(ROW(G12:G442)-ROW(G12),3)=0)),"""")"),75)</f>
        <v>75</v>
      </c>
      <c r="H221" s="86">
        <f ca="1">IFERROR(__xludf.DUMMYFUNCTION("IFERROR(MIN(FILTER(H12:H442,MOD(ROW(H12:H442)-ROW(H12),3)=0)),"""")"),77)</f>
        <v>77</v>
      </c>
      <c r="I221" s="86">
        <f ca="1">IFERROR(__xludf.DUMMYFUNCTION("IFERROR(MIN(FILTER(I12:I442,MOD(ROW(I12:I442)-ROW(I12),3)=0)),"""")"),80)</f>
        <v>80</v>
      </c>
      <c r="J221" s="86">
        <f ca="1">IFERROR(__xludf.DUMMYFUNCTION("IFERROR(MIN(FILTER(J12:J442,MOD(ROW(J12:J442)-ROW(J12),3)=0)),"""")"),76.5)</f>
        <v>76.5</v>
      </c>
      <c r="K221" s="86">
        <f ca="1">IFERROR(__xludf.DUMMYFUNCTION("IFERROR(MIN(FILTER(K12:K442,MOD(ROW(K12:K442)-ROW(K12),3)=0)),"""")"),82.5)</f>
        <v>82.5</v>
      </c>
      <c r="L221" s="86">
        <f ca="1">IFERROR(__xludf.DUMMYFUNCTION("IFERROR(MIN(FILTER(L12:L442,MOD(ROW(L12:L442)-ROW(L12),3)=0)),"""")"),76)</f>
        <v>76</v>
      </c>
      <c r="M221" s="86">
        <f ca="1">IFERROR(__xludf.DUMMYFUNCTION("IFERROR(MIN(FILTER(M12:M442,MOD(ROW(M12:M442)-ROW(M12),3)=0)),"""")"),77)</f>
        <v>77</v>
      </c>
      <c r="N221" s="86">
        <f ca="1">IFERROR(__xludf.DUMMYFUNCTION("IFERROR(MIN(FILTER(N12:N442,MOD(ROW(N12:N442)-ROW(N12),3)=0)),"""")"),87)</f>
        <v>87</v>
      </c>
      <c r="O221" s="86">
        <f ca="1">IFERROR(__xludf.DUMMYFUNCTION("IFERROR(MIN(FILTER(O12:O442,MOD(ROW(O12:O442)-ROW(O12),3)=0)),"""")"),79)</f>
        <v>79</v>
      </c>
      <c r="P221" s="86">
        <f ca="1">IFERROR(__xludf.DUMMYFUNCTION("IFERROR(MIN(FILTER(P12:P442,MOD(ROW(P12:P442)-ROW(P12),3)=0)),"""")"),77.5)</f>
        <v>77.5</v>
      </c>
      <c r="Q221" s="86">
        <f ca="1">IFERROR(__xludf.DUMMYFUNCTION("IFERROR(MIN(FILTER(Q12:Q442,MOD(ROW(Q12:Q442)-ROW(Q12),3)=0)),"""")"),78.5)</f>
        <v>78.5</v>
      </c>
      <c r="R221" s="86">
        <f ca="1">IFERROR(__xludf.DUMMYFUNCTION("IFERROR(MIN(FILTER(R12:R442,MOD(ROW(R12:R442)-ROW(R12),3)=0)),"""")"),77.5)</f>
        <v>77.5</v>
      </c>
      <c r="S221" s="86">
        <f ca="1">IFERROR(__xludf.DUMMYFUNCTION("IFERROR(MIN(FILTER(S12:S442,MOD(ROW(S12:S442)-ROW(S12),3)=0)),"""")"),79)</f>
        <v>79</v>
      </c>
      <c r="T221" s="86">
        <f ca="1">IFERROR(__xludf.DUMMYFUNCTION("IFERROR(MIN(FILTER(T12:T442,MOD(ROW(T12:T442)-ROW(T12),3)=0)),"""")"),78)</f>
        <v>78</v>
      </c>
      <c r="U221" s="86">
        <f ca="1">IFERROR(__xludf.DUMMYFUNCTION("IFERROR(MIN(FILTER(U12:U442,MOD(ROW(U12:U442)-ROW(U12),3)=0)),"""")"),77)</f>
        <v>77</v>
      </c>
      <c r="V221" s="86">
        <f ca="1">IFERROR(__xludf.DUMMYFUNCTION("IFERROR(MIN(FILTER(V12:V442,MOD(ROW(V12:V442)-ROW(V12),3)=0)),"""")"),78)</f>
        <v>78</v>
      </c>
      <c r="W221" s="90"/>
      <c r="X221" s="90"/>
      <c r="Y221" s="189"/>
      <c r="Z221" s="190"/>
      <c r="AA221" s="56"/>
      <c r="AB221" s="56"/>
      <c r="AC221" s="56"/>
      <c r="AD221" s="56"/>
      <c r="AE221" s="56"/>
    </row>
    <row r="222" spans="1:31" ht="14.5">
      <c r="A222" s="150"/>
      <c r="B222" s="150"/>
      <c r="C222" s="150"/>
      <c r="D222" s="150"/>
      <c r="E222" s="150"/>
      <c r="F222" s="88" t="s">
        <v>105</v>
      </c>
      <c r="G222" s="89">
        <f ca="1">IFERROR(__xludf.DUMMYFUNCTION("IFERROR(MIN(FILTER(G13:G443,MOD(ROW(G13:G443)-ROW(G13),3)=0)),"""")"),75)</f>
        <v>75</v>
      </c>
      <c r="H222" s="89">
        <f ca="1">IFERROR(__xludf.DUMMYFUNCTION("IFERROR(MIN(FILTER(H13:H443,MOD(ROW(H13:H443)-ROW(H13),3)=0)),"""")"),76)</f>
        <v>76</v>
      </c>
      <c r="I222" s="89">
        <f ca="1">IFERROR(__xludf.DUMMYFUNCTION("IFERROR(MIN(FILTER(I13:I443,MOD(ROW(I13:I443)-ROW(I13),3)=0)),"""")"),77)</f>
        <v>77</v>
      </c>
      <c r="J222" s="89">
        <f ca="1">IFERROR(__xludf.DUMMYFUNCTION("IFERROR(MIN(FILTER(J13:J443,MOD(ROW(J13:J443)-ROW(J13),3)=0)),"""")"),78)</f>
        <v>78</v>
      </c>
      <c r="K222" s="89">
        <f ca="1">IFERROR(__xludf.DUMMYFUNCTION("IFERROR(MIN(FILTER(K13:K443,MOD(ROW(K13:K443)-ROW(K13),3)=0)),"""")"),79)</f>
        <v>79</v>
      </c>
      <c r="L222" s="89">
        <f ca="1">IFERROR(__xludf.DUMMYFUNCTION("IFERROR(MIN(FILTER(L13:L443,MOD(ROW(L13:L443)-ROW(L13),3)=0)),"""")"),80)</f>
        <v>80</v>
      </c>
      <c r="M222" s="89">
        <f ca="1">IFERROR(__xludf.DUMMYFUNCTION("IFERROR(MIN(FILTER(M13:M443,MOD(ROW(M13:M443)-ROW(M13),3)=0)),"""")"),81)</f>
        <v>81</v>
      </c>
      <c r="N222" s="89">
        <f ca="1">IFERROR(__xludf.DUMMYFUNCTION("IFERROR(MIN(FILTER(N13:N443,MOD(ROW(N13:N443)-ROW(N13),3)=0)),"""")"),82)</f>
        <v>82</v>
      </c>
      <c r="O222" s="89">
        <f ca="1">IFERROR(__xludf.DUMMYFUNCTION("IFERROR(MIN(FILTER(O13:O443,MOD(ROW(O13:O443)-ROW(O13),3)=0)),"""")"),83)</f>
        <v>83</v>
      </c>
      <c r="P222" s="89">
        <f ca="1">IFERROR(__xludf.DUMMYFUNCTION("IFERROR(MIN(FILTER(P13:P443,MOD(ROW(P13:P443)-ROW(P13),3)=0)),"""")"),84)</f>
        <v>84</v>
      </c>
      <c r="Q222" s="89">
        <f ca="1">IFERROR(__xludf.DUMMYFUNCTION("IFERROR(MIN(FILTER(Q13:Q443,MOD(ROW(Q13:Q443)-ROW(Q13),3)=0)),"""")"),85)</f>
        <v>85</v>
      </c>
      <c r="R222" s="89">
        <f ca="1">IFERROR(__xludf.DUMMYFUNCTION("IFERROR(MIN(FILTER(R13:R443,MOD(ROW(R13:R443)-ROW(R13),3)=0)),"""")"),86)</f>
        <v>86</v>
      </c>
      <c r="S222" s="89">
        <f ca="1">IFERROR(__xludf.DUMMYFUNCTION("IFERROR(MIN(FILTER(S13:S443,MOD(ROW(S13:S443)-ROW(S13),3)=0)),"""")"),87)</f>
        <v>87</v>
      </c>
      <c r="T222" s="89">
        <f ca="1">IFERROR(__xludf.DUMMYFUNCTION("IFERROR(MIN(FILTER(T13:T443,MOD(ROW(T13:T443)-ROW(T13),3)=0)),"""")"),88)</f>
        <v>88</v>
      </c>
      <c r="U222" s="89">
        <f ca="1">IFERROR(__xludf.DUMMYFUNCTION("IFERROR(MIN(FILTER(U13:U443,MOD(ROW(U13:U443)-ROW(U13),3)=0)),"""")"),0)</f>
        <v>0</v>
      </c>
      <c r="V222" s="89">
        <f ca="1">IFERROR(__xludf.DUMMYFUNCTION("IFERROR(MIN(FILTER(V13:V443,MOD(ROW(V13:V443)-ROW(V13),3)=0)),"""")"),89)</f>
        <v>89</v>
      </c>
      <c r="W222" s="90"/>
      <c r="X222" s="90"/>
      <c r="Y222" s="150"/>
      <c r="Z222" s="150"/>
      <c r="AA222" s="56"/>
      <c r="AB222" s="56"/>
      <c r="AC222" s="56"/>
      <c r="AD222" s="56"/>
      <c r="AE222" s="56"/>
    </row>
    <row r="223" spans="1:31" ht="14.5">
      <c r="A223" s="150"/>
      <c r="B223" s="150"/>
      <c r="C223" s="150"/>
      <c r="D223" s="150"/>
      <c r="E223" s="150"/>
      <c r="F223" s="91" t="s">
        <v>135</v>
      </c>
      <c r="G223" s="92">
        <f ca="1">IFERROR(__xludf.DUMMYFUNCTION("IFERROR(MIN(FILTER(G14:G444,MOD(ROW(G14:G444)-ROW(G14),3)=0)),"""")"),0)</f>
        <v>0</v>
      </c>
      <c r="H223" s="92">
        <f ca="1">IFERROR(__xludf.DUMMYFUNCTION("IFERROR(MIN(FILTER(H14:H444,MOD(ROW(H14:H444)-ROW(H14),3)=0)),"""")"),0)</f>
        <v>0</v>
      </c>
      <c r="I223" s="92">
        <f ca="1">IFERROR(__xludf.DUMMYFUNCTION("IFERROR(MIN(FILTER(I14:I444,MOD(ROW(I14:I444)-ROW(I14),3)=0)),"""")"),0)</f>
        <v>0</v>
      </c>
      <c r="J223" s="92">
        <f ca="1">IFERROR(__xludf.DUMMYFUNCTION("IFERROR(MIN(FILTER(J14:J444,MOD(ROW(J14:J444)-ROW(J14),3)=0)),"""")"),0)</f>
        <v>0</v>
      </c>
      <c r="K223" s="92">
        <f ca="1">IFERROR(__xludf.DUMMYFUNCTION("IFERROR(MIN(FILTER(K14:K444,MOD(ROW(K14:K444)-ROW(K14),3)=0)),"""")"),0)</f>
        <v>0</v>
      </c>
      <c r="L223" s="92">
        <f ca="1">IFERROR(__xludf.DUMMYFUNCTION("IFERROR(MIN(FILTER(L14:L444,MOD(ROW(L14:L444)-ROW(L14),3)=0)),"""")"),0)</f>
        <v>0</v>
      </c>
      <c r="M223" s="92">
        <f ca="1">IFERROR(__xludf.DUMMYFUNCTION("IFERROR(MIN(FILTER(M14:M444,MOD(ROW(M14:M444)-ROW(M14),3)=0)),"""")"),0)</f>
        <v>0</v>
      </c>
      <c r="N223" s="92">
        <f ca="1">IFERROR(__xludf.DUMMYFUNCTION("IFERROR(MIN(FILTER(N14:N444,MOD(ROW(N14:N444)-ROW(N14),3)=0)),"""")"),0)</f>
        <v>0</v>
      </c>
      <c r="O223" s="92">
        <f ca="1">IFERROR(__xludf.DUMMYFUNCTION("IFERROR(MIN(FILTER(O14:O444,MOD(ROW(O14:O444)-ROW(O14),3)=0)),"""")"),0)</f>
        <v>0</v>
      </c>
      <c r="P223" s="92">
        <f ca="1">IFERROR(__xludf.DUMMYFUNCTION("IFERROR(MIN(FILTER(P14:P444,MOD(ROW(P14:P444)-ROW(P14),3)=0)),"""")"),0)</f>
        <v>0</v>
      </c>
      <c r="Q223" s="92">
        <f ca="1">IFERROR(__xludf.DUMMYFUNCTION("IFERROR(MIN(FILTER(Q14:Q444,MOD(ROW(Q14:Q444)-ROW(Q14),3)=0)),"""")"),0)</f>
        <v>0</v>
      </c>
      <c r="R223" s="92">
        <f ca="1">IFERROR(__xludf.DUMMYFUNCTION("IFERROR(MIN(FILTER(R14:R444,MOD(ROW(R14:R444)-ROW(R14),3)=0)),"""")"),0)</f>
        <v>0</v>
      </c>
      <c r="S223" s="92">
        <f ca="1">IFERROR(__xludf.DUMMYFUNCTION("IFERROR(MIN(FILTER(S14:S444,MOD(ROW(S14:S444)-ROW(S14),3)=0)),"""")"),0)</f>
        <v>0</v>
      </c>
      <c r="T223" s="92">
        <f ca="1">IFERROR(__xludf.DUMMYFUNCTION("IFERROR(MIN(FILTER(T14:T444,MOD(ROW(T14:T444)-ROW(T14),3)=0)),"""")"),0)</f>
        <v>0</v>
      </c>
      <c r="U223" s="92">
        <f ca="1">IFERROR(__xludf.DUMMYFUNCTION("IFERROR(MIN(FILTER(U14:U444,MOD(ROW(U14:U444)-ROW(U14),3)=0)),"""")"),0)</f>
        <v>0</v>
      </c>
      <c r="V223" s="92">
        <f ca="1">IFERROR(__xludf.DUMMYFUNCTION("IFERROR(MIN(FILTER(V14:V444,MOD(ROW(V14:V444)-ROW(V14),3)=0)),"""")"),0)</f>
        <v>0</v>
      </c>
      <c r="W223" s="90"/>
      <c r="X223" s="90"/>
      <c r="Y223" s="150"/>
      <c r="Z223" s="150"/>
      <c r="AA223" s="56"/>
      <c r="AB223" s="56"/>
      <c r="AC223" s="56"/>
      <c r="AD223" s="56"/>
      <c r="AE223" s="56"/>
    </row>
    <row r="224" spans="1:31" ht="14.5">
      <c r="A224" s="194" t="s">
        <v>143</v>
      </c>
      <c r="B224" s="150"/>
      <c r="C224" s="150"/>
      <c r="D224" s="150"/>
      <c r="E224" s="150"/>
      <c r="F224" s="85" t="s">
        <v>134</v>
      </c>
      <c r="G224" s="86">
        <f ca="1">IFERROR(__xludf.DUMMYFUNCTION("IFERROR(AVERAGE(FILTER(G12:G444,MOD(ROW(G12:G444)-ROW(G12),3)=0)),"""")"),75.8725490196078)</f>
        <v>75.872549019607803</v>
      </c>
      <c r="H224" s="86">
        <f ca="1">IFERROR(__xludf.DUMMYFUNCTION("IFERROR(AVERAGE(FILTER(H12:H444,MOD(ROW(H12:H444)-ROW(H12),3)=0)),"""")"),80.1019607843137)</f>
        <v>80.101960784313704</v>
      </c>
      <c r="I224" s="86">
        <f ca="1">IFERROR(__xludf.DUMMYFUNCTION("IFERROR(AVERAGE(FILTER(I12:I444,MOD(ROW(I12:I444)-ROW(I12),3)=0)),"""")"),82.4823529411764)</f>
        <v>82.482352941176401</v>
      </c>
      <c r="J224" s="86">
        <f ca="1">IFERROR(__xludf.DUMMYFUNCTION("IFERROR(AVERAGE(FILTER(J12:J444,MOD(ROW(J12:J444)-ROW(J12),3)=0)),"""")"),81.2303921568627)</f>
        <v>81.230392156862706</v>
      </c>
      <c r="K224" s="86">
        <f ca="1">IFERROR(__xludf.DUMMYFUNCTION("IFERROR(AVERAGE(FILTER(K12:K444,MOD(ROW(K12:K444)-ROW(K12),3)=0)),"""")"),87.2279411764706)</f>
        <v>87.227941176470594</v>
      </c>
      <c r="L224" s="86">
        <f ca="1">IFERROR(__xludf.DUMMYFUNCTION("IFERROR(AVERAGE(FILTER(L12:L444,MOD(ROW(L12:L444)-ROW(L12),3)=0)),"""")"),82.6225490196078)</f>
        <v>82.622549019607803</v>
      </c>
      <c r="M224" s="86">
        <f ca="1">IFERROR(__xludf.DUMMYFUNCTION("IFERROR(AVERAGE(FILTER(M12:M444,MOD(ROW(M12:M444)-ROW(M12),3)=0)),"""")"),85.4313725490196)</f>
        <v>85.431372549019599</v>
      </c>
      <c r="N224" s="86">
        <f ca="1">IFERROR(__xludf.DUMMYFUNCTION("IFERROR(AVERAGE(FILTER(N12:N444,MOD(ROW(N12:N444)-ROW(N12),3)=0)),"""")"),89.0019607843137)</f>
        <v>89.001960784313695</v>
      </c>
      <c r="O224" s="86">
        <f ca="1">IFERROR(__xludf.DUMMYFUNCTION("IFERROR(AVERAGE(FILTER(O12:O444,MOD(ROW(O12:O444)-ROW(O12),3)=0)),"""")"),86.5980392156862)</f>
        <v>86.5980392156862</v>
      </c>
      <c r="P224" s="86">
        <f ca="1">IFERROR(__xludf.DUMMYFUNCTION("IFERROR(AVERAGE(FILTER(P12:P444,MOD(ROW(P12:P444)-ROW(P12),3)=0)),"""")"),85.7009803921568)</f>
        <v>85.700980392156794</v>
      </c>
      <c r="Q224" s="86">
        <f ca="1">IFERROR(__xludf.DUMMYFUNCTION("IFERROR(AVERAGE(FILTER(Q12:Q444,MOD(ROW(Q12:Q444)-ROW(Q12),3)=0)),"""")"),84.6862745098039)</f>
        <v>84.686274509803894</v>
      </c>
      <c r="R224" s="86">
        <f ca="1">IFERROR(__xludf.DUMMYFUNCTION("IFERROR(AVERAGE(FILTER(R12:R444,MOD(ROW(R12:R444)-ROW(R12),3)=0)),"""")"),86.2549019607843)</f>
        <v>86.254901960784295</v>
      </c>
      <c r="S224" s="86">
        <f ca="1">IFERROR(__xludf.DUMMYFUNCTION("IFERROR(AVERAGE(FILTER(S12:S444,MOD(ROW(S12:S444)-ROW(S12),3)=0)),"""")"),87.3300980392156)</f>
        <v>87.330098039215599</v>
      </c>
      <c r="T224" s="86">
        <f ca="1">IFERROR(__xludf.DUMMYFUNCTION("IFERROR(AVERAGE(FILTER(T12:T444,MOD(ROW(T12:T444)-ROW(T12),3)=0)),"""")"),86.5588235294117)</f>
        <v>86.558823529411697</v>
      </c>
      <c r="U224" s="86">
        <f ca="1">IFERROR(__xludf.DUMMYFUNCTION("IFERROR(AVERAGE(FILTER(U12:U444,MOD(ROW(U12:U444)-ROW(U12),3)=0)),"""")"),84.6666666666666)</f>
        <v>84.6666666666666</v>
      </c>
      <c r="V224" s="86">
        <f ca="1">IFERROR(__xludf.DUMMYFUNCTION("IFERROR(AVERAGE(FILTER(V12:V444,MOD(ROW(V12:V444)-ROW(V12),3)=0)),"""")"),87.9379411764705)</f>
        <v>87.937941176470503</v>
      </c>
      <c r="W224" s="90"/>
      <c r="X224" s="90"/>
      <c r="Y224" s="189"/>
      <c r="Z224" s="190"/>
      <c r="AA224" s="56"/>
      <c r="AB224" s="56"/>
      <c r="AC224" s="56"/>
      <c r="AD224" s="56"/>
      <c r="AE224" s="56"/>
    </row>
    <row r="225" spans="1:31" ht="14.5">
      <c r="A225" s="150"/>
      <c r="B225" s="150"/>
      <c r="C225" s="150"/>
      <c r="D225" s="150"/>
      <c r="E225" s="150"/>
      <c r="F225" s="88" t="s">
        <v>105</v>
      </c>
      <c r="G225" s="89">
        <f ca="1">IFERROR(__xludf.DUMMYFUNCTION("IFERROR(AVERAGE(FILTER(G13:G445,MOD(ROW(G13:G445)-ROW(G13),3)=0)),"""")"),75)</f>
        <v>75</v>
      </c>
      <c r="H225" s="89">
        <f ca="1">IFERROR(__xludf.DUMMYFUNCTION("IFERROR(AVERAGE(FILTER(H13:H445,MOD(ROW(H13:H445)-ROW(H13),3)=0)),"""")"),76)</f>
        <v>76</v>
      </c>
      <c r="I225" s="89">
        <f ca="1">IFERROR(__xludf.DUMMYFUNCTION("IFERROR(AVERAGE(FILTER(I13:I445,MOD(ROW(I13:I445)-ROW(I13),3)=0)),"""")"),77)</f>
        <v>77</v>
      </c>
      <c r="J225" s="89">
        <f ca="1">IFERROR(__xludf.DUMMYFUNCTION("IFERROR(AVERAGE(FILTER(J13:J445,MOD(ROW(J13:J445)-ROW(J13),3)=0)),"""")"),78)</f>
        <v>78</v>
      </c>
      <c r="K225" s="89">
        <f ca="1">IFERROR(__xludf.DUMMYFUNCTION("IFERROR(AVERAGE(FILTER(K13:K445,MOD(ROW(K13:K445)-ROW(K13),3)=0)),"""")"),79)</f>
        <v>79</v>
      </c>
      <c r="L225" s="89">
        <f ca="1">IFERROR(__xludf.DUMMYFUNCTION("IFERROR(AVERAGE(FILTER(L13:L445,MOD(ROW(L13:L445)-ROW(L13),3)=0)),"""")"),80)</f>
        <v>80</v>
      </c>
      <c r="M225" s="89">
        <f ca="1">IFERROR(__xludf.DUMMYFUNCTION("IFERROR(AVERAGE(FILTER(M13:M445,MOD(ROW(M13:M445)-ROW(M13),3)=0)),"""")"),81)</f>
        <v>81</v>
      </c>
      <c r="N225" s="89">
        <f ca="1">IFERROR(__xludf.DUMMYFUNCTION("IFERROR(AVERAGE(FILTER(N13:N445,MOD(ROW(N13:N445)-ROW(N13),3)=0)),"""")"),82)</f>
        <v>82</v>
      </c>
      <c r="O225" s="89">
        <f ca="1">IFERROR(__xludf.DUMMYFUNCTION("IFERROR(AVERAGE(FILTER(O13:O445,MOD(ROW(O13:O445)-ROW(O13),3)=0)),"""")"),83)</f>
        <v>83</v>
      </c>
      <c r="P225" s="89">
        <f ca="1">IFERROR(__xludf.DUMMYFUNCTION("IFERROR(AVERAGE(FILTER(P13:P445,MOD(ROW(P13:P445)-ROW(P13),3)=0)),"""")"),84)</f>
        <v>84</v>
      </c>
      <c r="Q225" s="89">
        <f ca="1">IFERROR(__xludf.DUMMYFUNCTION("IFERROR(AVERAGE(FILTER(Q13:Q445,MOD(ROW(Q13:Q445)-ROW(Q13),3)=0)),"""")"),85)</f>
        <v>85</v>
      </c>
      <c r="R225" s="89">
        <f ca="1">IFERROR(__xludf.DUMMYFUNCTION("IFERROR(AVERAGE(FILTER(R13:R445,MOD(ROW(R13:R445)-ROW(R13),3)=0)),"""")"),86)</f>
        <v>86</v>
      </c>
      <c r="S225" s="89">
        <f ca="1">IFERROR(__xludf.DUMMYFUNCTION("IFERROR(AVERAGE(FILTER(S13:S445,MOD(ROW(S13:S445)-ROW(S13),3)=0)),"""")"),87)</f>
        <v>87</v>
      </c>
      <c r="T225" s="89">
        <f ca="1">IFERROR(__xludf.DUMMYFUNCTION("IFERROR(AVERAGE(FILTER(T13:T445,MOD(ROW(T13:T445)-ROW(T13),3)=0)),"""")"),88)</f>
        <v>88</v>
      </c>
      <c r="U225" s="89">
        <f ca="1">IFERROR(__xludf.DUMMYFUNCTION("IFERROR(AVERAGE(FILTER(U13:U445,MOD(ROW(U13:U445)-ROW(U13),3)=0)),"""")"),0)</f>
        <v>0</v>
      </c>
      <c r="V225" s="89">
        <f ca="1">IFERROR(__xludf.DUMMYFUNCTION("IFERROR(AVERAGE(FILTER(V13:V445,MOD(ROW(V13:V445)-ROW(V13),3)=0)),"""")"),89)</f>
        <v>89</v>
      </c>
      <c r="W225" s="90"/>
      <c r="X225" s="90"/>
      <c r="Y225" s="150"/>
      <c r="Z225" s="150"/>
      <c r="AA225" s="56"/>
      <c r="AB225" s="56"/>
      <c r="AC225" s="56"/>
      <c r="AD225" s="56"/>
      <c r="AE225" s="56"/>
    </row>
    <row r="226" spans="1:31" ht="14.5">
      <c r="A226" s="150"/>
      <c r="B226" s="150"/>
      <c r="C226" s="150"/>
      <c r="D226" s="150"/>
      <c r="E226" s="150"/>
      <c r="F226" s="93" t="s">
        <v>135</v>
      </c>
      <c r="G226" s="92">
        <f ca="1">IFERROR(__xludf.DUMMYFUNCTION("IFERROR(AVERAGE(FILTER(G14:G446,MOD(ROW(G14:G446)-ROW(G14),3)=0)),"""")"),53.0655172413793)</f>
        <v>53.065517241379297</v>
      </c>
      <c r="H226" s="92">
        <f ca="1">IFERROR(__xludf.DUMMYFUNCTION("IFERROR(AVERAGE(FILTER(H14:H446,MOD(ROW(H14:H446)-ROW(H14),3)=0)),"""")"),54.9048275862068)</f>
        <v>54.9048275862068</v>
      </c>
      <c r="I226" s="92">
        <f ca="1">IFERROR(__xludf.DUMMYFUNCTION("IFERROR(AVERAGE(FILTER(I14:I446,MOD(ROW(I14:I446)-ROW(I14),3)=0)),"""")"),56.0937931034482)</f>
        <v>56.093793103448199</v>
      </c>
      <c r="J226" s="92">
        <f ca="1">IFERROR(__xludf.DUMMYFUNCTION("IFERROR(AVERAGE(FILTER(J14:J446,MOD(ROW(J14:J446)-ROW(J14),3)=0)),"""")"),56.0051724137931)</f>
        <v>56.005172413793098</v>
      </c>
      <c r="K226" s="92">
        <f ca="1">IFERROR(__xludf.DUMMYFUNCTION("IFERROR(AVERAGE(FILTER(K14:K446,MOD(ROW(K14:K446)-ROW(K14),3)=0)),"""")"),58.4663793103448)</f>
        <v>58.466379310344799</v>
      </c>
      <c r="L226" s="92">
        <f ca="1">IFERROR(__xludf.DUMMYFUNCTION("IFERROR(AVERAGE(FILTER(L14:L446,MOD(ROW(L14:L446)-ROW(L14),3)=0)),"""")"),57.1982758620689)</f>
        <v>57.198275862068897</v>
      </c>
      <c r="M226" s="92">
        <f ca="1">IFERROR(__xludf.DUMMYFUNCTION("IFERROR(AVERAGE(FILTER(M14:M446,MOD(ROW(M14:M446)-ROW(M14),3)=0)),"""")"),58.5379310344827)</f>
        <v>58.537931034482703</v>
      </c>
      <c r="N226" s="92">
        <f ca="1">IFERROR(__xludf.DUMMYFUNCTION("IFERROR(AVERAGE(FILTER(N14:N446,MOD(ROW(N14:N446)-ROW(N14),3)=0)),"""")"),60.1455172413793)</f>
        <v>60.145517241379302</v>
      </c>
      <c r="O226" s="92">
        <f ca="1">IFERROR(__xludf.DUMMYFUNCTION("IFERROR(AVERAGE(FILTER(O14:O446,MOD(ROW(O14:O446)-ROW(O14),3)=0)),"""")"),59.651724137931)</f>
        <v>59.651724137930998</v>
      </c>
      <c r="P226" s="92">
        <f ca="1">IFERROR(__xludf.DUMMYFUNCTION("IFERROR(AVERAGE(FILTER(P14:P446,MOD(ROW(P14:P446)-ROW(P14),3)=0)),"""")"),59.6879310344827)</f>
        <v>59.687931034482702</v>
      </c>
      <c r="Q226" s="92">
        <f ca="1">IFERROR(__xludf.DUMMYFUNCTION("IFERROR(AVERAGE(FILTER(Q14:Q446,MOD(ROW(Q14:Q446)-ROW(Q14),3)=0)),"""")"),59.6827586206896)</f>
        <v>59.682758620689597</v>
      </c>
      <c r="R226" s="92">
        <f ca="1">IFERROR(__xludf.DUMMYFUNCTION("IFERROR(AVERAGE(FILTER(R14:R446,MOD(ROW(R14:R446)-ROW(R14),3)=0)),"""")"),60.5862068965517)</f>
        <v>60.586206896551701</v>
      </c>
      <c r="S226" s="92">
        <f ca="1">IFERROR(__xludf.DUMMYFUNCTION("IFERROR(AVERAGE(FILTER(S14:S446,MOD(ROW(S14:S446)-ROW(S14),3)=0)),"""")"),61.3161034482758)</f>
        <v>61.316103448275797</v>
      </c>
      <c r="T226" s="92">
        <f ca="1">IFERROR(__xludf.DUMMYFUNCTION("IFERROR(AVERAGE(FILTER(T14:T446,MOD(ROW(T14:T446)-ROW(T14),3)=0)),"""")"),61.3965517241379)</f>
        <v>61.3965517241379</v>
      </c>
      <c r="U226" s="92">
        <f ca="1">IFERROR(__xludf.DUMMYFUNCTION("IFERROR(AVERAGE(FILTER(U14:U446,MOD(ROW(U14:U446)-ROW(U14),3)=0)),"""")"),59.5586206896551)</f>
        <v>59.5586206896551</v>
      </c>
      <c r="V226" s="92">
        <f ca="1">IFERROR(__xludf.DUMMYFUNCTION("IFERROR(AVERAGE(FILTER(V14:V446,MOD(ROW(V14:V446)-ROW(V14),3)=0)),"""")"),62.2333448275862)</f>
        <v>62.233344827586201</v>
      </c>
      <c r="W226" s="94"/>
      <c r="X226" s="94"/>
      <c r="Y226" s="150"/>
      <c r="Z226" s="150"/>
      <c r="AA226" s="56"/>
      <c r="AB226" s="56"/>
      <c r="AC226" s="56"/>
      <c r="AD226" s="56"/>
      <c r="AE226" s="56"/>
    </row>
    <row r="227" spans="1:31" ht="12.5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31" ht="12.5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31" ht="12.5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31" ht="12.5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31" ht="12.5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31" ht="12.5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31" ht="12.5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31" ht="12.5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31" ht="12.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31" ht="12.5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31" ht="12.5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31" ht="12.5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31" ht="12.5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31" ht="12.5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2.5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2.5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2.5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2.5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2.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2.5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2.5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2.5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2.5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2.5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2.5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2.5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2.5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2.5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2.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2.5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2.5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2.5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2.5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2.5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2.5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2.5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2.5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2.5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2.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2.5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2.5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2.5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2.5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2.5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2.5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2.5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2.5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2.5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2.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2.5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2.5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2.5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2.5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2.5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2.5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2.5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2.5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2.5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2.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2.5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2.5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2.5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2.5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2.5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2.5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2.5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2.5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2.5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2.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2.5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2.5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2.5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2.5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2.5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2.5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2.5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2.5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2.5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2.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2.5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2.5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2.5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2.5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2.5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2.5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2.5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2.5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2.5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2.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2.5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2.5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2.5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2.5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2.5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2.5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2.5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2.5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2.5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2.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2.5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2.5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2.5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2.5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2.5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2.5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2.5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2.5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2.5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2.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2.5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2.5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2.5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2.5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2.5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2.5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2.5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2.5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2.5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2.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2.5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2.5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2.5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2.5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2.5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2.5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2.5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2.5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2.5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2.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2.5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2.5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2.5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2.5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2.5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2.5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2.5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2.5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2.5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2.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2.5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2.5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2.5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2.5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2.5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2.5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2.5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2.5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2.5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2.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2.5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2.5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2.5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2.5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2.5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</sheetData>
  <mergeCells count="62">
    <mergeCell ref="E213:L213"/>
    <mergeCell ref="E214:O214"/>
    <mergeCell ref="E215:N215"/>
    <mergeCell ref="M209:P209"/>
    <mergeCell ref="R8:R10"/>
    <mergeCell ref="Q8:Q10"/>
    <mergeCell ref="M200:N200"/>
    <mergeCell ref="M201:N201"/>
    <mergeCell ref="M208:Q208"/>
    <mergeCell ref="N7:V7"/>
    <mergeCell ref="W7:W10"/>
    <mergeCell ref="X7:X10"/>
    <mergeCell ref="Y7:Y10"/>
    <mergeCell ref="E212:K212"/>
    <mergeCell ref="S8:S10"/>
    <mergeCell ref="W208:Y208"/>
    <mergeCell ref="W209:Y209"/>
    <mergeCell ref="Z7:Z10"/>
    <mergeCell ref="V8:V10"/>
    <mergeCell ref="F7:F10"/>
    <mergeCell ref="G8:G10"/>
    <mergeCell ref="D201:E201"/>
    <mergeCell ref="I8:I10"/>
    <mergeCell ref="J8:J10"/>
    <mergeCell ref="K8:K10"/>
    <mergeCell ref="L8:L10"/>
    <mergeCell ref="M8:M10"/>
    <mergeCell ref="N8:N10"/>
    <mergeCell ref="O8:O10"/>
    <mergeCell ref="W200:X200"/>
    <mergeCell ref="T8:T10"/>
    <mergeCell ref="U8:U10"/>
    <mergeCell ref="P8:P10"/>
    <mergeCell ref="Y224:Y226"/>
    <mergeCell ref="Z224:Z226"/>
    <mergeCell ref="E216:I216"/>
    <mergeCell ref="A218:E220"/>
    <mergeCell ref="Z218:Z220"/>
    <mergeCell ref="A221:E223"/>
    <mergeCell ref="Y221:Y223"/>
    <mergeCell ref="Z221:Z223"/>
    <mergeCell ref="A224:E226"/>
    <mergeCell ref="Y218:Y220"/>
    <mergeCell ref="AB4:AB5"/>
    <mergeCell ref="AB6:AC6"/>
    <mergeCell ref="A1:Z1"/>
    <mergeCell ref="A2:Z2"/>
    <mergeCell ref="AB2:AB3"/>
    <mergeCell ref="A3:B3"/>
    <mergeCell ref="V3:Y3"/>
    <mergeCell ref="V4:Z4"/>
    <mergeCell ref="D5:I5"/>
    <mergeCell ref="A4:B4"/>
    <mergeCell ref="A5:B5"/>
    <mergeCell ref="A6:B6"/>
    <mergeCell ref="A7:A11"/>
    <mergeCell ref="B7:B11"/>
    <mergeCell ref="C7:C11"/>
    <mergeCell ref="D7:D11"/>
    <mergeCell ref="H8:H10"/>
    <mergeCell ref="E7:E11"/>
    <mergeCell ref="G7:M7"/>
  </mergeCells>
  <conditionalFormatting sqref="A12:Z380">
    <cfRule type="expression" dxfId="2" priority="1">
      <formula>AND($F12="NSP",MOD(ROW()-ROW($A$12),3)=2)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  <pageSetUpPr fitToPage="1"/>
  </sheetPr>
  <dimension ref="A1:N36"/>
  <sheetViews>
    <sheetView topLeftCell="A23" workbookViewId="0">
      <selection activeCell="H30" sqref="H30"/>
    </sheetView>
  </sheetViews>
  <sheetFormatPr defaultColWidth="12.6328125" defaultRowHeight="15.75" customHeight="1"/>
  <cols>
    <col min="1" max="1" width="5.08984375" customWidth="1"/>
    <col min="2" max="2" width="13.90625" customWidth="1"/>
    <col min="4" max="4" width="19.36328125" customWidth="1"/>
    <col min="5" max="10" width="7.6328125" customWidth="1"/>
    <col min="11" max="11" width="11.7265625" customWidth="1"/>
    <col min="12" max="12" width="6.36328125" customWidth="1"/>
    <col min="13" max="13" width="5.08984375" customWidth="1"/>
    <col min="14" max="14" width="27.7265625" customWidth="1"/>
  </cols>
  <sheetData>
    <row r="1" spans="1:14" ht="128.25" customHeight="1">
      <c r="A1" s="205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96"/>
      <c r="M1" s="96"/>
      <c r="N1" s="96"/>
    </row>
    <row r="2" spans="1:14" ht="28.5" customHeight="1">
      <c r="A2" s="206" t="s">
        <v>144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96"/>
      <c r="M2" s="96"/>
      <c r="N2" s="97" t="s">
        <v>194</v>
      </c>
    </row>
    <row r="3" spans="1:14" ht="20.25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8" t="s">
        <v>145</v>
      </c>
    </row>
    <row r="4" spans="1:14" ht="15.5">
      <c r="A4" s="203" t="s">
        <v>23</v>
      </c>
      <c r="B4" s="150"/>
      <c r="C4" s="147" t="e">
        <f>": "&amp; _xlfn.XLOOKUP($N$2,RR!B9:B48,RR!D9:D48)</f>
        <v>#N/A</v>
      </c>
      <c r="D4" s="99"/>
      <c r="E4" s="203" t="s">
        <v>8</v>
      </c>
      <c r="F4" s="150"/>
      <c r="G4" s="150"/>
      <c r="H4" s="204" t="str">
        <f>": "&amp;BIODATA!D10</f>
        <v>: Teknologi Manufaktur dan Rekayasa</v>
      </c>
      <c r="I4" s="150"/>
      <c r="J4" s="150"/>
      <c r="K4" s="150"/>
      <c r="L4" s="96"/>
      <c r="M4" s="96"/>
      <c r="N4" s="101"/>
    </row>
    <row r="5" spans="1:14" ht="15.5">
      <c r="A5" s="203" t="s">
        <v>146</v>
      </c>
      <c r="B5" s="150"/>
      <c r="C5" s="147" t="e">
        <f>": "&amp;_xlfn.XLOOKUP($N$2,RR!B9:B48,RR!B9:B48)&amp; " / " &amp; _xlfn.XLOOKUP($N$2,RR!B9:B48,RR!C9:C48)</f>
        <v>#N/A</v>
      </c>
      <c r="D5" s="99"/>
      <c r="E5" s="203" t="s">
        <v>9</v>
      </c>
      <c r="F5" s="150"/>
      <c r="G5" s="150"/>
      <c r="H5" s="204" t="str">
        <f>": "&amp;BIODATA!D11</f>
        <v>: Tenik Otomotif</v>
      </c>
      <c r="I5" s="150"/>
      <c r="J5" s="150"/>
      <c r="K5" s="150"/>
      <c r="L5" s="96"/>
      <c r="M5" s="96"/>
      <c r="N5" s="101"/>
    </row>
    <row r="6" spans="1:14" ht="15.5">
      <c r="A6" s="203" t="s">
        <v>147</v>
      </c>
      <c r="B6" s="150"/>
      <c r="C6" s="148" t="e">
        <f>": "&amp;_xlfn.XLOOKUP($N$2,BIODATA!B24:B63,BIODATA!F24:F63)</f>
        <v>#N/A</v>
      </c>
      <c r="D6" s="99"/>
      <c r="E6" s="203" t="s">
        <v>10</v>
      </c>
      <c r="F6" s="150"/>
      <c r="G6" s="150"/>
      <c r="H6" s="100" t="str">
        <f>": " &amp;BIODATA!D12</f>
        <v>: Teknik Kendaraan Ringan</v>
      </c>
      <c r="I6" s="100"/>
      <c r="J6" s="100"/>
      <c r="K6" s="100"/>
      <c r="L6" s="96"/>
      <c r="M6" s="96"/>
      <c r="N6" s="96"/>
    </row>
    <row r="7" spans="1:14" ht="15.5">
      <c r="A7" s="99"/>
      <c r="B7" s="99"/>
      <c r="C7" s="99"/>
      <c r="D7" s="99"/>
      <c r="E7" s="99"/>
      <c r="F7" s="99"/>
      <c r="G7" s="99"/>
      <c r="H7" s="100"/>
      <c r="I7" s="100"/>
      <c r="J7" s="100"/>
      <c r="K7" s="100"/>
      <c r="L7" s="96"/>
      <c r="M7" s="96"/>
      <c r="N7" s="96"/>
    </row>
    <row r="8" spans="1:14" ht="15.5">
      <c r="A8" s="154" t="s">
        <v>20</v>
      </c>
      <c r="B8" s="154" t="s">
        <v>148</v>
      </c>
      <c r="C8" s="150"/>
      <c r="D8" s="150"/>
      <c r="E8" s="167" t="s">
        <v>64</v>
      </c>
      <c r="F8" s="150"/>
      <c r="G8" s="150"/>
      <c r="H8" s="150"/>
      <c r="I8" s="150"/>
      <c r="J8" s="150"/>
      <c r="K8" s="167" t="s">
        <v>149</v>
      </c>
      <c r="L8" s="96"/>
      <c r="M8" s="96"/>
      <c r="N8" s="96"/>
    </row>
    <row r="9" spans="1:14" ht="15.5">
      <c r="A9" s="150"/>
      <c r="B9" s="150"/>
      <c r="C9" s="150"/>
      <c r="D9" s="150"/>
      <c r="E9" s="102" t="s">
        <v>150</v>
      </c>
      <c r="F9" s="102" t="s">
        <v>151</v>
      </c>
      <c r="G9" s="102" t="s">
        <v>152</v>
      </c>
      <c r="H9" s="102" t="s">
        <v>153</v>
      </c>
      <c r="I9" s="102" t="s">
        <v>154</v>
      </c>
      <c r="J9" s="102" t="s">
        <v>155</v>
      </c>
      <c r="K9" s="150"/>
      <c r="L9" s="96"/>
      <c r="M9" s="96"/>
      <c r="N9" s="96"/>
    </row>
    <row r="10" spans="1:14" ht="4.5" customHeight="1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96"/>
      <c r="M10" s="96"/>
      <c r="N10" s="96"/>
    </row>
    <row r="11" spans="1:14" ht="15.5">
      <c r="A11" s="202" t="s">
        <v>156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96"/>
      <c r="M11" s="96"/>
      <c r="N11" s="96"/>
    </row>
    <row r="12" spans="1:14" ht="15.5">
      <c r="A12" s="104">
        <v>1</v>
      </c>
      <c r="B12" s="153" t="s">
        <v>157</v>
      </c>
      <c r="C12" s="150"/>
      <c r="D12" s="150"/>
      <c r="E12" s="106" t="e">
        <f>_xlfn.XLOOKUP($N$2,RR!$B$9:$B$48,RR!G$9:G$48)</f>
        <v>#N/A</v>
      </c>
      <c r="F12" s="106" t="e">
        <f>_xlfn.XLOOKUP($N$2,RR!$B$9:$B$48,RR!H9:H48)</f>
        <v>#N/A</v>
      </c>
      <c r="G12" s="106" t="e">
        <f>_xlfn.XLOOKUP($N$2,RR!$B$9:$B$48,RR!I9:I48)</f>
        <v>#N/A</v>
      </c>
      <c r="H12" s="106" t="e">
        <f>_xlfn.XLOOKUP($N$2,RR!$B$9:$B$48,RR!J9:J48)</f>
        <v>#N/A</v>
      </c>
      <c r="I12" s="106" t="e">
        <f>_xlfn.XLOOKUP($N$2,RR!$B$9:$B$48,RR!K9:K48)</f>
        <v>#N/A</v>
      </c>
      <c r="J12" s="107" t="s">
        <v>158</v>
      </c>
      <c r="K12" s="106" t="e">
        <f>_xlfn.XLOOKUP($N$2,PSAJ!$B$8:$B$47,PSAJ!F$8:F$47)</f>
        <v>#N/A</v>
      </c>
      <c r="L12" s="96"/>
      <c r="M12" s="96"/>
      <c r="N12" s="96"/>
    </row>
    <row r="13" spans="1:14" ht="15.5">
      <c r="A13" s="104">
        <v>2</v>
      </c>
      <c r="B13" s="153" t="s">
        <v>49</v>
      </c>
      <c r="C13" s="150"/>
      <c r="D13" s="150"/>
      <c r="E13" s="106" t="e">
        <f>_xlfn.XLOOKUP($N$2,RR!$B$9:$B$48,RR!M$9:M$48)</f>
        <v>#N/A</v>
      </c>
      <c r="F13" s="106" t="e">
        <f>_xlfn.XLOOKUP($N$2,RR!$B$9:$B$48,RR!N$9:N$48)</f>
        <v>#N/A</v>
      </c>
      <c r="G13" s="106" t="e">
        <f>_xlfn.XLOOKUP($N$2,RR!$B$9:$B$48,RR!O$9:O$48)</f>
        <v>#N/A</v>
      </c>
      <c r="H13" s="106" t="e">
        <f>_xlfn.XLOOKUP($N$2,RR!$B$9:$B$48,RR!P$9:P$48)</f>
        <v>#N/A</v>
      </c>
      <c r="I13" s="106" t="e">
        <f>_xlfn.XLOOKUP($N$2,RR!$B$9:$B$48,RR!Q$9:Q$48)</f>
        <v>#N/A</v>
      </c>
      <c r="J13" s="107" t="s">
        <v>158</v>
      </c>
      <c r="K13" s="106" t="e">
        <f>_xlfn.XLOOKUP($N$2,PSAJ!$B$8:$B$47,PSAJ!G$8:G$47)</f>
        <v>#N/A</v>
      </c>
      <c r="L13" s="96"/>
      <c r="M13" s="96"/>
      <c r="N13" s="96"/>
    </row>
    <row r="14" spans="1:14" ht="15.5">
      <c r="A14" s="104">
        <v>3</v>
      </c>
      <c r="B14" s="153" t="s">
        <v>50</v>
      </c>
      <c r="C14" s="150"/>
      <c r="D14" s="150"/>
      <c r="E14" s="106" t="e">
        <f>_xlfn.XLOOKUP($N$2,RR!$B$9:$B$48,RR!S$9:S$48)</f>
        <v>#N/A</v>
      </c>
      <c r="F14" s="106" t="e">
        <f>_xlfn.XLOOKUP($N$2,RR!$B$9:$B$48,RR!T$9:T$48)</f>
        <v>#N/A</v>
      </c>
      <c r="G14" s="106" t="e">
        <f>_xlfn.XLOOKUP($N$2,RR!$B$9:$B$48,RR!U$9:U$48)</f>
        <v>#N/A</v>
      </c>
      <c r="H14" s="106" t="e">
        <f>_xlfn.XLOOKUP($N$2,RR!$B$9:$B$48,RR!V$9:V$48)</f>
        <v>#N/A</v>
      </c>
      <c r="I14" s="106" t="e">
        <f>_xlfn.XLOOKUP($N$2,RR!$B$9:$B$48,RR!W$9:W$48)</f>
        <v>#N/A</v>
      </c>
      <c r="J14" s="107" t="s">
        <v>158</v>
      </c>
      <c r="K14" s="106" t="e">
        <f>_xlfn.XLOOKUP($N$2,PSAJ!$B$8:$B$47,PSAJ!H$8:H$47)</f>
        <v>#N/A</v>
      </c>
      <c r="L14" s="96"/>
      <c r="M14" s="96"/>
      <c r="N14" s="96"/>
    </row>
    <row r="15" spans="1:14" ht="15.5">
      <c r="A15" s="104">
        <v>4</v>
      </c>
      <c r="B15" s="153" t="s">
        <v>159</v>
      </c>
      <c r="C15" s="150"/>
      <c r="D15" s="150"/>
      <c r="E15" s="106" t="e">
        <f>_xlfn.XLOOKUP($N$2,RR!$B$9:$B$48,RR!Y$9:Y$48)</f>
        <v>#N/A</v>
      </c>
      <c r="F15" s="106" t="e">
        <f>_xlfn.XLOOKUP($N$2,RR!$B$9:$B$48,RR!Z$9:Z$48)</f>
        <v>#N/A</v>
      </c>
      <c r="G15" s="106" t="e">
        <f>_xlfn.XLOOKUP($N$2,RR!$B$9:$B$48,RR!AA$9:AA$48)</f>
        <v>#N/A</v>
      </c>
      <c r="H15" s="106" t="e">
        <f>_xlfn.XLOOKUP($N$2,RR!$B$9:$B$48,RR!AB$9:AB$48)</f>
        <v>#N/A</v>
      </c>
      <c r="I15" s="107" t="s">
        <v>158</v>
      </c>
      <c r="J15" s="107" t="s">
        <v>158</v>
      </c>
      <c r="K15" s="106" t="e">
        <f>_xlfn.XLOOKUP($N$2,PSAJ!$B$8:$B$47,PSAJ!I$8:I$47)</f>
        <v>#N/A</v>
      </c>
      <c r="L15" s="96"/>
      <c r="M15" s="96"/>
      <c r="N15" s="96"/>
    </row>
    <row r="16" spans="1:14" ht="15.5">
      <c r="A16" s="104">
        <v>5</v>
      </c>
      <c r="B16" s="153" t="s">
        <v>52</v>
      </c>
      <c r="C16" s="150"/>
      <c r="D16" s="150"/>
      <c r="E16" s="106" t="e">
        <f>_xlfn.XLOOKUP($N$2,RR!$B$9:$B$48,RR!AD$9:AD$48)</f>
        <v>#N/A</v>
      </c>
      <c r="F16" s="106" t="e">
        <f>_xlfn.XLOOKUP($N$2,RR!$B$9:$B$48,RR!AE$9:AE$48)</f>
        <v>#N/A</v>
      </c>
      <c r="G16" s="106" t="e">
        <f>_xlfn.XLOOKUP($N$2,RR!$B$9:$B$48,RR!AF$9:AF$48)</f>
        <v>#N/A</v>
      </c>
      <c r="H16" s="106" t="e">
        <f>_xlfn.XLOOKUP($N$2,RR!$B$9:$B$48,RR!AG$9:AG$48)</f>
        <v>#N/A</v>
      </c>
      <c r="I16" s="107" t="s">
        <v>158</v>
      </c>
      <c r="J16" s="107" t="s">
        <v>158</v>
      </c>
      <c r="K16" s="106" t="e">
        <f>_xlfn.XLOOKUP($N$2,PSAJ!$B$8:$B$47,PSAJ!J$8:J$47)</f>
        <v>#N/A</v>
      </c>
      <c r="L16" s="96"/>
      <c r="M16" s="96"/>
      <c r="N16" s="96"/>
    </row>
    <row r="17" spans="1:14" ht="15.5">
      <c r="A17" s="104">
        <v>6</v>
      </c>
      <c r="B17" s="153" t="s">
        <v>160</v>
      </c>
      <c r="C17" s="150"/>
      <c r="D17" s="150"/>
      <c r="E17" s="106" t="e">
        <f>_xlfn.XLOOKUP($N$2,RR!$B$9:$B$48,RR!AI$9:AI$48)</f>
        <v>#N/A</v>
      </c>
      <c r="F17" s="106" t="e">
        <f>_xlfn.XLOOKUP($N$2,RR!$B$9:$B$48,RR!AJ$9:AJ$48)</f>
        <v>#N/A</v>
      </c>
      <c r="G17" s="107" t="s">
        <v>158</v>
      </c>
      <c r="H17" s="107" t="s">
        <v>158</v>
      </c>
      <c r="I17" s="107" t="s">
        <v>158</v>
      </c>
      <c r="J17" s="107" t="s">
        <v>158</v>
      </c>
      <c r="K17" s="106" t="e">
        <f>_xlfn.XLOOKUP($N$2,PSAJ!$B$8:$B$47,PSAJ!K$8:K$47)</f>
        <v>#N/A</v>
      </c>
      <c r="L17" s="96"/>
      <c r="M17" s="96"/>
      <c r="N17" s="96"/>
    </row>
    <row r="18" spans="1:14" ht="15.5">
      <c r="A18" s="202" t="s">
        <v>161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96"/>
      <c r="M18" s="96"/>
      <c r="N18" s="96"/>
    </row>
    <row r="19" spans="1:14" ht="15.5">
      <c r="A19" s="104">
        <v>1</v>
      </c>
      <c r="B19" s="153" t="s">
        <v>55</v>
      </c>
      <c r="C19" s="150"/>
      <c r="D19" s="150"/>
      <c r="E19" s="106" t="e">
        <f>_xlfn.XLOOKUP($N$2,RR!$B$9:$B$48,RR!AR$9:AR$48)</f>
        <v>#N/A</v>
      </c>
      <c r="F19" s="106" t="e">
        <f>_xlfn.XLOOKUP($N$2,RR!$B$9:$B$48,RR!AS$9:AS$48)</f>
        <v>#N/A</v>
      </c>
      <c r="G19" s="106" t="e">
        <f>_xlfn.XLOOKUP($N$2,RR!$B$9:$B$48,RR!AT$9:AT$48)</f>
        <v>#N/A</v>
      </c>
      <c r="H19" s="106" t="e">
        <f>_xlfn.XLOOKUP($N$2,RR!$B$9:$B$48,RR!AU$9:AU$48)</f>
        <v>#N/A</v>
      </c>
      <c r="I19" s="106" t="e">
        <f>_xlfn.XLOOKUP($N$2,RR!$B$9:$B$48,RR!AV$9:AV$48)</f>
        <v>#N/A</v>
      </c>
      <c r="J19" s="107" t="s">
        <v>158</v>
      </c>
      <c r="K19" s="106" t="e">
        <f>_xlfn.XLOOKUP($N$2,PSAJ!$B$8:$B$47,PSAJ!M$8:M$47)</f>
        <v>#N/A</v>
      </c>
      <c r="L19" s="96"/>
      <c r="M19" s="96"/>
      <c r="N19" s="96"/>
    </row>
    <row r="20" spans="1:14" ht="15.5">
      <c r="A20" s="104">
        <v>2</v>
      </c>
      <c r="B20" s="153" t="s">
        <v>56</v>
      </c>
      <c r="C20" s="150"/>
      <c r="D20" s="150"/>
      <c r="E20" s="106" t="e">
        <f>_xlfn.XLOOKUP($N$2,RR!$B$9:$B$48,RR!AX$9:AX$48)</f>
        <v>#N/A</v>
      </c>
      <c r="F20" s="106" t="e">
        <f>_xlfn.XLOOKUP($N$2,RR!$B$9:$B$48,RR!AY$9:AY$48)</f>
        <v>#N/A</v>
      </c>
      <c r="G20" s="106" t="e">
        <f>_xlfn.XLOOKUP($N$2,RR!$B$9:$B$48,RR!AZ$9:AZ$48)</f>
        <v>#N/A</v>
      </c>
      <c r="H20" s="106" t="e">
        <f>_xlfn.XLOOKUP($N$2,RR!$B$9:$B$48,RR!BA$9:BA$48)</f>
        <v>#N/A</v>
      </c>
      <c r="I20" s="106" t="e">
        <f>_xlfn.XLOOKUP($N$2,RR!$B$9:$B$48,RR!BB$9:BB$48)</f>
        <v>#N/A</v>
      </c>
      <c r="J20" s="107" t="s">
        <v>158</v>
      </c>
      <c r="K20" s="106" t="e">
        <f>_xlfn.XLOOKUP($N$2,PSAJ!$B$8:$B$47,PSAJ!N$8:N$47)</f>
        <v>#N/A</v>
      </c>
      <c r="L20" s="96"/>
      <c r="M20" s="96"/>
      <c r="N20" s="96"/>
    </row>
    <row r="21" spans="1:14" ht="15.5">
      <c r="A21" s="104">
        <v>3</v>
      </c>
      <c r="B21" s="153" t="s">
        <v>57</v>
      </c>
      <c r="C21" s="150"/>
      <c r="D21" s="150"/>
      <c r="E21" s="106" t="e">
        <f>_xlfn.XLOOKUP($N$2,RR!$B$9:$B$48,RR!BD$9:BD$48)</f>
        <v>#N/A</v>
      </c>
      <c r="F21" s="106" t="e">
        <f>_xlfn.XLOOKUP($N$2,RR!$B$9:$B$48,RR!BE$9:BE$48)</f>
        <v>#N/A</v>
      </c>
      <c r="G21" s="107" t="s">
        <v>158</v>
      </c>
      <c r="H21" s="107" t="s">
        <v>158</v>
      </c>
      <c r="I21" s="107" t="s">
        <v>158</v>
      </c>
      <c r="J21" s="107" t="s">
        <v>158</v>
      </c>
      <c r="K21" s="106" t="e">
        <f>_xlfn.XLOOKUP($N$2,PSAJ!$B$8:$B$47,PSAJ!O$8:O$47)</f>
        <v>#N/A</v>
      </c>
      <c r="L21" s="96"/>
      <c r="M21" s="96"/>
      <c r="N21" s="96"/>
    </row>
    <row r="22" spans="1:14" ht="15.5">
      <c r="A22" s="104">
        <v>4</v>
      </c>
      <c r="B22" s="153" t="s">
        <v>58</v>
      </c>
      <c r="C22" s="150"/>
      <c r="D22" s="150"/>
      <c r="E22" s="106" t="e">
        <f>_xlfn.XLOOKUP($N$2,RR!$B$9:$B$48,RR!BG$9:BG$48)</f>
        <v>#N/A</v>
      </c>
      <c r="F22" s="106" t="e">
        <f>_xlfn.XLOOKUP($N$2,RR!$B$9:$B$48,RR!BH$9:BH$48)</f>
        <v>#N/A</v>
      </c>
      <c r="G22" s="107" t="s">
        <v>158</v>
      </c>
      <c r="H22" s="107" t="s">
        <v>158</v>
      </c>
      <c r="I22" s="107" t="s">
        <v>158</v>
      </c>
      <c r="J22" s="107" t="s">
        <v>158</v>
      </c>
      <c r="K22" s="106" t="e">
        <f>_xlfn.XLOOKUP($N$2,PSAJ!$B$8:$B$47,PSAJ!P$8:P$47)</f>
        <v>#N/A</v>
      </c>
      <c r="L22" s="96"/>
      <c r="M22" s="96"/>
      <c r="N22" s="96"/>
    </row>
    <row r="23" spans="1:14" ht="15.5">
      <c r="A23" s="104">
        <v>5</v>
      </c>
      <c r="B23" s="153" t="s">
        <v>59</v>
      </c>
      <c r="C23" s="150"/>
      <c r="D23" s="150"/>
      <c r="E23" s="106" t="e">
        <f>_xlfn.XLOOKUP($N$2,RR!$B$9:$B$48,RR!BJ$9:BJ$48)</f>
        <v>#N/A</v>
      </c>
      <c r="F23" s="106" t="e">
        <f>_xlfn.XLOOKUP($N$2,RR!$B$9:$B$48,RR!BK$9:BK$48)</f>
        <v>#N/A</v>
      </c>
      <c r="G23" s="107" t="s">
        <v>158</v>
      </c>
      <c r="H23" s="107" t="s">
        <v>158</v>
      </c>
      <c r="I23" s="107" t="s">
        <v>158</v>
      </c>
      <c r="J23" s="107" t="s">
        <v>158</v>
      </c>
      <c r="K23" s="106" t="e">
        <f>_xlfn.XLOOKUP($N$2,PSAJ!$B$8:$B$47,PSAJ!Q$8:Q$47)</f>
        <v>#N/A</v>
      </c>
      <c r="L23" s="96"/>
      <c r="M23" s="96"/>
      <c r="N23" s="96"/>
    </row>
    <row r="24" spans="1:14" ht="15.5">
      <c r="A24" s="104">
        <v>6</v>
      </c>
      <c r="B24" s="153" t="s">
        <v>10</v>
      </c>
      <c r="C24" s="150"/>
      <c r="D24" s="150"/>
      <c r="E24" s="107" t="s">
        <v>158</v>
      </c>
      <c r="F24" s="107" t="s">
        <v>158</v>
      </c>
      <c r="G24" s="106" t="e">
        <f>_xlfn.XLOOKUP($N$2,RR!$B$9:$B$48,RR!BM$9:BM$48)</f>
        <v>#N/A</v>
      </c>
      <c r="H24" s="106" t="e">
        <f>_xlfn.XLOOKUP($N$2,RR!$B$9:$B$48,RR!BN$9:BN$48)</f>
        <v>#N/A</v>
      </c>
      <c r="I24" s="106" t="e">
        <f>_xlfn.XLOOKUP($N$2,RR!$B$9:$B$48,RR!BO$9:BO$48)</f>
        <v>#N/A</v>
      </c>
      <c r="J24" s="107" t="s">
        <v>158</v>
      </c>
      <c r="K24" s="106" t="e">
        <f>_xlfn.XLOOKUP($N$2,PSAJ!$B$8:$B$47,PSAJ!R$8:R$47)</f>
        <v>#N/A</v>
      </c>
      <c r="L24" s="96"/>
      <c r="M24" s="96"/>
      <c r="N24" s="96"/>
    </row>
    <row r="25" spans="1:14" ht="15.5">
      <c r="A25" s="104">
        <v>7</v>
      </c>
      <c r="B25" s="153" t="s">
        <v>60</v>
      </c>
      <c r="C25" s="150"/>
      <c r="D25" s="150"/>
      <c r="E25" s="107" t="s">
        <v>158</v>
      </c>
      <c r="F25" s="107" t="s">
        <v>158</v>
      </c>
      <c r="G25" s="106" t="e">
        <f>_xlfn.XLOOKUP($N$2,RR!$B$9:$B$48,RR!BQ$9:BQ$48)</f>
        <v>#N/A</v>
      </c>
      <c r="H25" s="106" t="e">
        <f>_xlfn.XLOOKUP($N$2,RR!$B$9:$B$48,RR!BR$9:BR$48)</f>
        <v>#N/A</v>
      </c>
      <c r="I25" s="106" t="e">
        <f>_xlfn.XLOOKUP($N$2,RR!$B$9:$B$48,RR!BS$9:BS$48)</f>
        <v>#N/A</v>
      </c>
      <c r="J25" s="107" t="s">
        <v>158</v>
      </c>
      <c r="K25" s="106" t="e">
        <f>_xlfn.XLOOKUP($N$2,PSAJ!$B$8:$B$47,PSAJ!S$8:S$47)</f>
        <v>#N/A</v>
      </c>
      <c r="L25" s="96"/>
      <c r="M25" s="96"/>
      <c r="N25" s="96"/>
    </row>
    <row r="26" spans="1:14" ht="15.5">
      <c r="A26" s="104">
        <v>8</v>
      </c>
      <c r="B26" s="153" t="s">
        <v>162</v>
      </c>
      <c r="C26" s="150"/>
      <c r="D26" s="150"/>
      <c r="E26" s="107" t="s">
        <v>158</v>
      </c>
      <c r="F26" s="107" t="s">
        <v>158</v>
      </c>
      <c r="G26" s="107" t="s">
        <v>158</v>
      </c>
      <c r="H26" s="107" t="s">
        <v>158</v>
      </c>
      <c r="I26" s="107" t="s">
        <v>158</v>
      </c>
      <c r="J26" s="106" t="e">
        <f>_xlfn.XLOOKUP($N$2,RR!$B$9:$B$48,RR!BV$9:BV$48)</f>
        <v>#N/A</v>
      </c>
      <c r="K26" s="107" t="s">
        <v>158</v>
      </c>
      <c r="L26" s="96"/>
      <c r="M26" s="96"/>
      <c r="N26" s="96"/>
    </row>
    <row r="27" spans="1:14" ht="15.5">
      <c r="A27" s="104">
        <v>9</v>
      </c>
      <c r="B27" s="153" t="s">
        <v>163</v>
      </c>
      <c r="C27" s="150"/>
      <c r="D27" s="150"/>
      <c r="E27" s="107" t="s">
        <v>158</v>
      </c>
      <c r="F27" s="107" t="s">
        <v>158</v>
      </c>
      <c r="G27" s="106" t="e">
        <f>_xlfn.XLOOKUP($N$2,RR!$B$9:$B$48,RR!BW$9:BW$48)</f>
        <v>#N/A</v>
      </c>
      <c r="H27" s="106" t="e">
        <f>_xlfn.XLOOKUP($N$2,RR!$B$9:$B$48,RR!BX$9:BX$48)</f>
        <v>#N/A</v>
      </c>
      <c r="I27" s="106" t="e">
        <f>_xlfn.XLOOKUP($N$2,RR!$B$9:$B$48,RR!BY$9:BY$48)</f>
        <v>#N/A</v>
      </c>
      <c r="J27" s="107" t="s">
        <v>158</v>
      </c>
      <c r="K27" s="106" t="e">
        <f>_xlfn.XLOOKUP($N$2,PSAJ!$B$8:$B$47,PSAJ!T$8:T$47)</f>
        <v>#N/A</v>
      </c>
      <c r="L27" s="96"/>
      <c r="M27" s="96"/>
      <c r="N27" s="96"/>
    </row>
    <row r="28" spans="1:14" ht="15.5">
      <c r="A28" s="202" t="s">
        <v>164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96"/>
      <c r="M28" s="96"/>
      <c r="N28" s="96"/>
    </row>
    <row r="29" spans="1:14" ht="15.5">
      <c r="A29" s="104">
        <v>1</v>
      </c>
      <c r="B29" s="153" t="s">
        <v>165</v>
      </c>
      <c r="C29" s="150"/>
      <c r="D29" s="150"/>
      <c r="E29" s="106" t="e">
        <f>_xlfn.XLOOKUP($N$2,RR!$B$9:$B$48,RR!AL$9:AL$48)</f>
        <v>#N/A</v>
      </c>
      <c r="F29" s="106" t="e">
        <f>_xlfn.XLOOKUP($N$2,RR!$B$9:$B$48,RR!AM$9:AM$48)</f>
        <v>#N/A</v>
      </c>
      <c r="G29" s="106" t="e">
        <f>_xlfn.XLOOKUP($N$2,RR!$B$9:$B$48,RR!AN$9:AN$48)</f>
        <v>#N/A</v>
      </c>
      <c r="H29" s="106" t="e">
        <f>_xlfn.XLOOKUP($N$2,RR!$B$9:$B$48,RR!AO$9:AO$48)</f>
        <v>#N/A</v>
      </c>
      <c r="I29" s="106" t="e">
        <f>_xlfn.XLOOKUP($N$2,RR!$B$9:$B$48,RR!AP$9:AP$48)</f>
        <v>#N/A</v>
      </c>
      <c r="J29" s="107" t="s">
        <v>158</v>
      </c>
      <c r="K29" s="106" t="e">
        <f>_xlfn.XLOOKUP($N$2,PSAJ!$B$8:$B$47,PSAJ!L$8:L$47)</f>
        <v>#N/A</v>
      </c>
      <c r="L29" s="96"/>
      <c r="M29" s="96"/>
      <c r="N29" s="96"/>
    </row>
    <row r="30" spans="1:14" ht="15.5">
      <c r="A30" s="108" t="s">
        <v>166</v>
      </c>
      <c r="B30" s="108"/>
      <c r="C30" s="108"/>
      <c r="D30" s="109"/>
      <c r="E30" s="109"/>
      <c r="F30" s="109"/>
      <c r="G30" s="109"/>
      <c r="H30" s="109"/>
      <c r="I30" s="109"/>
      <c r="J30" s="109"/>
      <c r="K30" s="109"/>
      <c r="L30" s="96"/>
      <c r="M30" s="96"/>
      <c r="N30" s="96"/>
    </row>
    <row r="31" spans="1:14" ht="15.5">
      <c r="A31" s="96"/>
      <c r="B31" s="96"/>
      <c r="C31" s="96"/>
      <c r="D31" s="96"/>
      <c r="E31" s="96"/>
      <c r="F31" s="96"/>
      <c r="G31" s="110"/>
      <c r="H31" s="110"/>
      <c r="I31" s="110"/>
      <c r="J31" s="96"/>
      <c r="K31" s="96"/>
      <c r="L31" s="96"/>
      <c r="M31" s="96"/>
      <c r="N31" s="96"/>
    </row>
    <row r="32" spans="1:14" ht="15.5">
      <c r="A32" s="96"/>
      <c r="B32" s="96"/>
      <c r="C32" s="96"/>
      <c r="D32" s="96"/>
      <c r="E32" s="96"/>
      <c r="F32" s="96"/>
      <c r="G32" s="201" t="str">
        <f>"Mojokerto, " &amp; BIODATA!D13</f>
        <v>Mojokerto, 04 Mei 2026</v>
      </c>
      <c r="H32" s="150"/>
      <c r="I32" s="150"/>
      <c r="J32" s="96"/>
      <c r="K32" s="96"/>
      <c r="L32" s="96"/>
      <c r="M32" s="96"/>
      <c r="N32" s="96"/>
    </row>
    <row r="33" spans="1:14" ht="15.5">
      <c r="A33" s="96"/>
      <c r="B33" s="96"/>
      <c r="C33" s="149"/>
      <c r="D33" s="150"/>
      <c r="E33" s="150"/>
      <c r="F33" s="150"/>
      <c r="G33" s="149" t="str">
        <f>"Kepala " &amp; BIODATA!D7</f>
        <v>Kepala SMKS PACET</v>
      </c>
      <c r="H33" s="150"/>
      <c r="I33" s="150"/>
      <c r="J33" s="150"/>
      <c r="K33" s="96"/>
      <c r="L33" s="96"/>
      <c r="M33" s="96"/>
      <c r="N33" s="96"/>
    </row>
    <row r="34" spans="1:14" ht="52.5" customHeight="1">
      <c r="A34" s="96"/>
      <c r="B34" s="96"/>
      <c r="C34" s="150"/>
      <c r="D34" s="150"/>
      <c r="E34" s="150"/>
      <c r="F34" s="150"/>
      <c r="G34" s="96"/>
      <c r="H34" s="96"/>
      <c r="I34" s="96"/>
      <c r="J34" s="96"/>
      <c r="K34" s="96"/>
      <c r="L34" s="96"/>
      <c r="M34" s="96"/>
      <c r="N34" s="96"/>
    </row>
    <row r="35" spans="1:14" ht="15.5">
      <c r="A35" s="96"/>
      <c r="B35" s="96"/>
      <c r="C35" s="150"/>
      <c r="D35" s="150"/>
      <c r="E35" s="150"/>
      <c r="F35" s="150"/>
      <c r="G35" s="200" t="str">
        <f>BIODATA!D14</f>
        <v>Moh Junaedi Hartanto, S.Pd</v>
      </c>
      <c r="H35" s="150"/>
      <c r="I35" s="150"/>
      <c r="J35" s="96"/>
      <c r="K35" s="96"/>
      <c r="L35" s="96"/>
      <c r="M35" s="96"/>
      <c r="N35" s="96"/>
    </row>
    <row r="36" spans="1:14" ht="15.5">
      <c r="A36" s="96"/>
      <c r="B36" s="96"/>
      <c r="C36" s="150"/>
      <c r="D36" s="150"/>
      <c r="E36" s="150"/>
      <c r="F36" s="150"/>
      <c r="G36" s="201" t="str">
        <f>"NIP " &amp; BIODATA!D15</f>
        <v>NIP -</v>
      </c>
      <c r="H36" s="150"/>
      <c r="I36" s="150"/>
      <c r="J36" s="150"/>
      <c r="K36" s="96"/>
      <c r="L36" s="96"/>
      <c r="M36" s="96"/>
      <c r="N36" s="96"/>
    </row>
  </sheetData>
  <mergeCells count="38">
    <mergeCell ref="A1:K1"/>
    <mergeCell ref="A2:K2"/>
    <mergeCell ref="A4:B4"/>
    <mergeCell ref="E4:G4"/>
    <mergeCell ref="H4:K4"/>
    <mergeCell ref="E5:G5"/>
    <mergeCell ref="H5:K5"/>
    <mergeCell ref="A5:B5"/>
    <mergeCell ref="A6:B6"/>
    <mergeCell ref="E6:G6"/>
    <mergeCell ref="A8:A9"/>
    <mergeCell ref="E8:J8"/>
    <mergeCell ref="K8:K9"/>
    <mergeCell ref="A11:K11"/>
    <mergeCell ref="A18:K18"/>
    <mergeCell ref="B8:D9"/>
    <mergeCell ref="B12:D12"/>
    <mergeCell ref="B13:D13"/>
    <mergeCell ref="B14:D14"/>
    <mergeCell ref="B15:D15"/>
    <mergeCell ref="B16:D16"/>
    <mergeCell ref="B17:D17"/>
    <mergeCell ref="B19:D19"/>
    <mergeCell ref="B20:D20"/>
    <mergeCell ref="B21:D21"/>
    <mergeCell ref="B22:D22"/>
    <mergeCell ref="B23:D23"/>
    <mergeCell ref="B24:D24"/>
    <mergeCell ref="B25:D25"/>
    <mergeCell ref="G35:I35"/>
    <mergeCell ref="G36:J36"/>
    <mergeCell ref="B26:D26"/>
    <mergeCell ref="B27:D27"/>
    <mergeCell ref="A28:K28"/>
    <mergeCell ref="B29:D29"/>
    <mergeCell ref="G32:I32"/>
    <mergeCell ref="C33:F36"/>
    <mergeCell ref="G33:J33"/>
  </mergeCells>
  <printOptions horizontalCentered="1"/>
  <pageMargins left="0.5" right="0.5" top="0.5" bottom="0.5" header="0" footer="0"/>
  <pageSetup paperSize="9" fitToHeight="0" pageOrder="overThenDown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RR!$B$9:$B$48</xm:f>
          </x14:formula1>
          <xm:sqref>N2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27BA0"/>
    <outlinePr summaryBelow="0" summaryRight="0"/>
  </sheetPr>
  <dimension ref="A1:Y53"/>
  <sheetViews>
    <sheetView topLeftCell="A27" workbookViewId="0">
      <selection activeCell="A5" sqref="A5:G5"/>
    </sheetView>
  </sheetViews>
  <sheetFormatPr defaultColWidth="12.6328125" defaultRowHeight="15.75" customHeight="1"/>
  <cols>
    <col min="3" max="3" width="24.90625" customWidth="1"/>
    <col min="7" max="7" width="19.7265625" customWidth="1"/>
    <col min="8" max="8" width="5.08984375" customWidth="1"/>
    <col min="9" max="9" width="26.6328125" customWidth="1"/>
  </cols>
  <sheetData>
    <row r="1" spans="1:25" ht="132" customHeight="1">
      <c r="A1" s="189"/>
      <c r="B1" s="150"/>
      <c r="C1" s="150"/>
      <c r="D1" s="150"/>
      <c r="E1" s="150"/>
      <c r="F1" s="150"/>
      <c r="G1" s="150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ht="6.7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</row>
    <row r="3" spans="1:25" ht="24" customHeight="1">
      <c r="A3" s="213" t="s">
        <v>167</v>
      </c>
      <c r="B3" s="150"/>
      <c r="C3" s="150"/>
      <c r="D3" s="150"/>
      <c r="E3" s="150"/>
      <c r="F3" s="150"/>
      <c r="G3" s="150"/>
      <c r="H3" s="56"/>
      <c r="I3" s="97" t="s">
        <v>194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</row>
    <row r="4" spans="1:25" ht="18.5">
      <c r="A4" s="214" t="str">
        <f>BIODATA!D7</f>
        <v>SMKS PACET</v>
      </c>
      <c r="B4" s="150"/>
      <c r="C4" s="150"/>
      <c r="D4" s="150"/>
      <c r="E4" s="150"/>
      <c r="F4" s="150"/>
      <c r="G4" s="150"/>
      <c r="H4" s="56"/>
      <c r="I4" s="98" t="s">
        <v>145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</row>
    <row r="5" spans="1:25" ht="18.5">
      <c r="A5" s="214" t="s">
        <v>168</v>
      </c>
      <c r="B5" s="150"/>
      <c r="C5" s="150"/>
      <c r="D5" s="150"/>
      <c r="E5" s="150"/>
      <c r="F5" s="150"/>
      <c r="G5" s="150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</row>
    <row r="6" spans="1:25" ht="18.5">
      <c r="A6" s="214" t="s">
        <v>169</v>
      </c>
      <c r="B6" s="150"/>
      <c r="C6" s="150"/>
      <c r="D6" s="150"/>
      <c r="E6" s="150"/>
      <c r="F6" s="150"/>
      <c r="G6" s="150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</row>
    <row r="7" spans="1:25" ht="15.5">
      <c r="A7" s="212" t="s">
        <v>197</v>
      </c>
      <c r="B7" s="150"/>
      <c r="C7" s="150"/>
      <c r="D7" s="150"/>
      <c r="E7" s="150"/>
      <c r="F7" s="150"/>
      <c r="G7" s="150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</row>
    <row r="8" spans="1:25" ht="15.5">
      <c r="A8" s="96"/>
      <c r="B8" s="96"/>
      <c r="C8" s="96" t="s">
        <v>8</v>
      </c>
      <c r="D8" s="153" t="str">
        <f>": " &amp;BIODATA!D10</f>
        <v>: Teknologi Manufaktur dan Rekayasa</v>
      </c>
      <c r="E8" s="150"/>
      <c r="F8" s="150"/>
      <c r="G8" s="150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</row>
    <row r="9" spans="1:25" ht="15.5">
      <c r="A9" s="96"/>
      <c r="B9" s="96"/>
      <c r="C9" s="96" t="s">
        <v>9</v>
      </c>
      <c r="D9" s="153" t="str">
        <f>": " &amp;BIODATA!D11</f>
        <v>: Tenik Otomotif</v>
      </c>
      <c r="E9" s="150"/>
      <c r="F9" s="150"/>
      <c r="G9" s="150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</row>
    <row r="10" spans="1:25" ht="15.5">
      <c r="A10" s="96"/>
      <c r="B10" s="96"/>
      <c r="C10" s="96" t="s">
        <v>10</v>
      </c>
      <c r="D10" s="153" t="str">
        <f>": " &amp; BIODATA!D12</f>
        <v>: Teknik Kendaraan Ringan</v>
      </c>
      <c r="E10" s="150"/>
      <c r="F10" s="150"/>
      <c r="G10" s="150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</row>
    <row r="11" spans="1:25" ht="15.5">
      <c r="A11" s="96"/>
      <c r="B11" s="96"/>
      <c r="C11" s="96"/>
      <c r="D11" s="96"/>
      <c r="E11" s="96"/>
      <c r="F11" s="96"/>
      <c r="G11" s="9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</row>
    <row r="12" spans="1:25" ht="15.5">
      <c r="A12" s="153" t="str">
        <f>"Yang bertanda tangan di bawah ini, Kepala " &amp;  BIODATA!D7 &amp;" " &amp;BIODATA!D6 &amp; " Provinsi Jawa Timur"</f>
        <v>Yang bertanda tangan di bawah ini, Kepala SMKS PACET Kabupaten Mojokerto Provinsi Jawa Timur</v>
      </c>
      <c r="B12" s="150"/>
      <c r="C12" s="150"/>
      <c r="D12" s="150"/>
      <c r="E12" s="150"/>
      <c r="F12" s="150"/>
      <c r="G12" s="150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</row>
    <row r="13" spans="1:25" ht="15.5">
      <c r="A13" s="153" t="s">
        <v>170</v>
      </c>
      <c r="B13" s="150"/>
      <c r="C13" s="150"/>
      <c r="D13" s="150"/>
      <c r="E13" s="150"/>
      <c r="F13" s="150"/>
      <c r="G13" s="150"/>
      <c r="H13" s="56"/>
      <c r="I13" s="210"/>
      <c r="J13" s="150"/>
      <c r="K13" s="150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</row>
    <row r="14" spans="1:25" ht="15.5">
      <c r="A14" s="96"/>
      <c r="B14" s="96"/>
      <c r="C14" s="96" t="s">
        <v>70</v>
      </c>
      <c r="D14" s="211" t="e">
        <f>": " &amp;_xlfn.XLOOKUP($I$3,BIODATA!$B$24:$B$63,BIODATA!D$24:D$63)</f>
        <v>#N/A</v>
      </c>
      <c r="E14" s="150"/>
      <c r="F14" s="150"/>
      <c r="G14" s="150"/>
      <c r="H14" s="56"/>
      <c r="I14" s="150"/>
      <c r="J14" s="150"/>
      <c r="K14" s="150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</row>
    <row r="15" spans="1:25" ht="15.5">
      <c r="A15" s="96"/>
      <c r="B15" s="96"/>
      <c r="C15" s="96" t="s">
        <v>171</v>
      </c>
      <c r="D15" s="153" t="e">
        <f>": " &amp;_xlfn.XLOOKUP($I$3,BIODATA!$B$24:$B$63,BIODATA!F$24:F$63)</f>
        <v>#N/A</v>
      </c>
      <c r="E15" s="150"/>
      <c r="F15" s="150"/>
      <c r="G15" s="150"/>
      <c r="H15" s="56"/>
      <c r="I15" s="150"/>
      <c r="J15" s="150"/>
      <c r="K15" s="150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ht="15.5">
      <c r="A16" s="96"/>
      <c r="B16" s="96"/>
      <c r="C16" s="96" t="s">
        <v>28</v>
      </c>
      <c r="D16" s="153" t="e">
        <f>": " &amp;_xlfn.XLOOKUP($I$3,BIODATA!$B$24:$B$63,BIODATA!I$24:I$63)</f>
        <v>#N/A</v>
      </c>
      <c r="E16" s="150"/>
      <c r="F16" s="150"/>
      <c r="G16" s="150"/>
      <c r="H16" s="56"/>
      <c r="I16" s="150"/>
      <c r="J16" s="150"/>
      <c r="K16" s="150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</row>
    <row r="17" spans="1:25" ht="15.5">
      <c r="A17" s="96"/>
      <c r="B17" s="96"/>
      <c r="C17" s="96" t="s">
        <v>172</v>
      </c>
      <c r="D17" s="153" t="e">
        <f>": " &amp;_xlfn.XLOOKUP($I$3,BIODATA!$B$24:$B$63,BIODATA!B$24:B$63)</f>
        <v>#N/A</v>
      </c>
      <c r="E17" s="150"/>
      <c r="F17" s="150"/>
      <c r="G17" s="150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</row>
    <row r="18" spans="1:25" ht="15.5">
      <c r="A18" s="96"/>
      <c r="B18" s="96"/>
      <c r="C18" s="96" t="s">
        <v>173</v>
      </c>
      <c r="D18" s="153" t="e">
        <f>": " &amp;_xlfn.XLOOKUP($I$3,BIODATA!$B$24:$B$63,BIODATA!C$24:C$63)</f>
        <v>#N/A</v>
      </c>
      <c r="E18" s="150"/>
      <c r="F18" s="150"/>
      <c r="G18" s="150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5">
      <c r="A19" s="153" t="str">
        <f>"Dinyatakan LULUS dari satuan pendidikan berdasarkan SK Kepala " &amp; BIODATA!D7 &amp; " " &amp; A7 &amp;" ,"</f>
        <v>Dinyatakan LULUS dari satuan pendidikan berdasarkan SK Kepala SMKS PACET Nomor: 27.01/360/406.114.432/smk pct/2026 ,</v>
      </c>
      <c r="B19" s="150"/>
      <c r="C19" s="150"/>
      <c r="D19" s="150"/>
      <c r="E19" s="150"/>
      <c r="F19" s="150"/>
      <c r="G19" s="150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ht="15.5">
      <c r="A20" s="153" t="str">
        <f>"Tanggal " &amp;  BIODATA!D13 &amp; " tentang Kriteria Kelulusan " &amp; BIODATA!D7 &amp; " " &amp; BIODATA!D6 &amp;" Tahun Ajaran 2025/2026,"</f>
        <v>Tanggal 04 Mei 2026 tentang Kriteria Kelulusan SMKS PACET Kabupaten Mojokerto Tahun Ajaran 2025/2026,</v>
      </c>
      <c r="B20" s="150"/>
      <c r="C20" s="150"/>
      <c r="D20" s="150"/>
      <c r="E20" s="150"/>
      <c r="F20" s="150"/>
      <c r="G20" s="150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</row>
    <row r="21" spans="1:25" ht="15.5">
      <c r="A21" s="149" t="s">
        <v>174</v>
      </c>
      <c r="B21" s="150"/>
      <c r="C21" s="150"/>
      <c r="D21" s="150"/>
      <c r="E21" s="150"/>
      <c r="F21" s="150"/>
      <c r="G21" s="150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</row>
    <row r="22" spans="1:25" ht="15.5">
      <c r="A22" s="56"/>
      <c r="B22" s="111"/>
      <c r="C22" s="111"/>
      <c r="D22" s="111"/>
      <c r="E22" s="111"/>
      <c r="F22" s="111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</row>
    <row r="23" spans="1:25" ht="24" customHeight="1">
      <c r="A23" s="56"/>
      <c r="B23" s="19" t="s">
        <v>20</v>
      </c>
      <c r="C23" s="154" t="s">
        <v>148</v>
      </c>
      <c r="D23" s="150"/>
      <c r="E23" s="150"/>
      <c r="F23" s="19" t="s">
        <v>175</v>
      </c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</row>
    <row r="24" spans="1:25" ht="3.75" customHeight="1">
      <c r="A24" s="56"/>
      <c r="B24" s="112"/>
      <c r="C24" s="112"/>
      <c r="D24" s="112"/>
      <c r="E24" s="112"/>
      <c r="F24" s="112"/>
      <c r="G24" s="41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</row>
    <row r="25" spans="1:25" ht="15.5">
      <c r="A25" s="56"/>
      <c r="B25" s="208" t="s">
        <v>156</v>
      </c>
      <c r="C25" s="150"/>
      <c r="D25" s="150"/>
      <c r="E25" s="150"/>
      <c r="F25" s="113"/>
      <c r="G25" s="41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</row>
    <row r="26" spans="1:25" ht="15.5">
      <c r="A26" s="56"/>
      <c r="B26" s="114">
        <v>1</v>
      </c>
      <c r="C26" s="207" t="s">
        <v>157</v>
      </c>
      <c r="D26" s="150"/>
      <c r="E26" s="150"/>
      <c r="F26" s="115" t="str">
        <f t="array" ref="F26">IFERROR(INDEX(DKN!G:V,MATCH($I$3,DKN!B:B,0)+2,ROW(A1)),"")</f>
        <v/>
      </c>
      <c r="G26" s="104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34"/>
      <c r="T26" s="34"/>
      <c r="U26" s="34"/>
      <c r="V26" s="34"/>
      <c r="W26" s="34"/>
      <c r="X26" s="34"/>
      <c r="Y26" s="34"/>
    </row>
    <row r="27" spans="1:25" ht="15.5">
      <c r="A27" s="56"/>
      <c r="B27" s="114">
        <v>2</v>
      </c>
      <c r="C27" s="207" t="s">
        <v>49</v>
      </c>
      <c r="D27" s="150"/>
      <c r="E27" s="150"/>
      <c r="F27" s="115" t="str">
        <f t="array" ref="F27">IFERROR(INDEX(DKN!G:V,MATCH($I$3,DKN!B:B,0)+2,ROW(A2)),"")</f>
        <v/>
      </c>
      <c r="G27" s="104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34"/>
      <c r="T27" s="56"/>
      <c r="U27" s="56"/>
      <c r="V27" s="56"/>
      <c r="W27" s="56"/>
      <c r="X27" s="56"/>
      <c r="Y27" s="56"/>
    </row>
    <row r="28" spans="1:25" ht="15.5">
      <c r="A28" s="56"/>
      <c r="B28" s="114">
        <v>3</v>
      </c>
      <c r="C28" s="207" t="s">
        <v>50</v>
      </c>
      <c r="D28" s="150"/>
      <c r="E28" s="150"/>
      <c r="F28" s="115" t="str">
        <f t="array" ref="F28">IFERROR(INDEX(DKN!G:V,MATCH($I$3,DKN!B:B,0)+2,ROW(A3)),"")</f>
        <v/>
      </c>
      <c r="G28" s="104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34"/>
      <c r="T28" s="56"/>
      <c r="U28" s="56"/>
      <c r="V28" s="56"/>
      <c r="W28" s="56"/>
      <c r="X28" s="56"/>
      <c r="Y28" s="56"/>
    </row>
    <row r="29" spans="1:25" ht="15.5">
      <c r="A29" s="56"/>
      <c r="B29" s="114">
        <v>4</v>
      </c>
      <c r="C29" s="207" t="s">
        <v>159</v>
      </c>
      <c r="D29" s="150"/>
      <c r="E29" s="150"/>
      <c r="F29" s="115" t="str">
        <f t="array" ref="F29">IFERROR(INDEX(DKN!G:V,MATCH($I$3,DKN!B:B,0)+2,ROW(A4)),"")</f>
        <v/>
      </c>
      <c r="G29" s="104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34"/>
      <c r="T29" s="56"/>
      <c r="U29" s="56"/>
      <c r="V29" s="56"/>
      <c r="W29" s="56"/>
      <c r="X29" s="56"/>
      <c r="Y29" s="56"/>
    </row>
    <row r="30" spans="1:25" ht="15.5">
      <c r="A30" s="56"/>
      <c r="B30" s="114">
        <v>5</v>
      </c>
      <c r="C30" s="207" t="s">
        <v>52</v>
      </c>
      <c r="D30" s="150"/>
      <c r="E30" s="150"/>
      <c r="F30" s="115" t="str">
        <f t="array" ref="F30">IFERROR(INDEX(DKN!G:V,MATCH($I$3,DKN!B:B,0)+2,ROW(A5)),"")</f>
        <v/>
      </c>
      <c r="G30" s="104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34"/>
      <c r="T30" s="56"/>
      <c r="U30" s="56"/>
      <c r="V30" s="56"/>
      <c r="W30" s="56"/>
      <c r="X30" s="56"/>
      <c r="Y30" s="56"/>
    </row>
    <row r="31" spans="1:25" ht="15.5">
      <c r="A31" s="56"/>
      <c r="B31" s="114">
        <v>6</v>
      </c>
      <c r="C31" s="207" t="s">
        <v>160</v>
      </c>
      <c r="D31" s="150"/>
      <c r="E31" s="150"/>
      <c r="F31" s="115" t="str">
        <f t="array" ref="F31">IFERROR(INDEX(DKN!G:V,MATCH($I$3,DKN!B:B,0)+2,ROW(A6)),"")</f>
        <v/>
      </c>
      <c r="G31" s="104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34"/>
      <c r="T31" s="56"/>
      <c r="U31" s="56"/>
      <c r="V31" s="56"/>
      <c r="W31" s="56"/>
      <c r="X31" s="56"/>
      <c r="Y31" s="56"/>
    </row>
    <row r="32" spans="1:25" ht="15.5">
      <c r="A32" s="56"/>
      <c r="B32" s="208" t="s">
        <v>161</v>
      </c>
      <c r="C32" s="150"/>
      <c r="D32" s="150"/>
      <c r="E32" s="150"/>
      <c r="F32" s="116"/>
      <c r="G32" s="41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34"/>
      <c r="T32" s="56"/>
      <c r="U32" s="56"/>
      <c r="V32" s="56"/>
      <c r="W32" s="56"/>
      <c r="X32" s="56"/>
      <c r="Y32" s="56"/>
    </row>
    <row r="33" spans="1:25" ht="15.5">
      <c r="A33" s="56"/>
      <c r="B33" s="114">
        <v>1</v>
      </c>
      <c r="C33" s="207" t="s">
        <v>55</v>
      </c>
      <c r="D33" s="150"/>
      <c r="E33" s="150"/>
      <c r="F33" s="115" t="str">
        <f t="array" ref="F33">IFERROR(INDEX(DKN!G:V,MATCH($I$3,DKN!B:B,0)+2,ROW(A8)),"")</f>
        <v/>
      </c>
      <c r="G33" s="104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</row>
    <row r="34" spans="1:25" ht="15.5">
      <c r="A34" s="56"/>
      <c r="B34" s="114">
        <v>2</v>
      </c>
      <c r="C34" s="207" t="s">
        <v>56</v>
      </c>
      <c r="D34" s="150"/>
      <c r="E34" s="150"/>
      <c r="F34" s="115" t="str">
        <f t="array" ref="F34">IFERROR(INDEX(DKN!G:V,MATCH($I$3,DKN!B:B,0)+2,ROW(A9)),"")</f>
        <v/>
      </c>
      <c r="G34" s="104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</row>
    <row r="35" spans="1:25" ht="15.5">
      <c r="A35" s="56"/>
      <c r="B35" s="114">
        <v>3</v>
      </c>
      <c r="C35" s="207" t="s">
        <v>57</v>
      </c>
      <c r="D35" s="150"/>
      <c r="E35" s="150"/>
      <c r="F35" s="115" t="str">
        <f t="array" ref="F35">IFERROR(INDEX(DKN!G:V,MATCH($I$3,DKN!B:B,0)+2,ROW(A10)),"")</f>
        <v/>
      </c>
      <c r="G35" s="104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 spans="1:25" ht="15.5">
      <c r="A36" s="56"/>
      <c r="B36" s="114">
        <v>4</v>
      </c>
      <c r="C36" s="207" t="s">
        <v>58</v>
      </c>
      <c r="D36" s="150"/>
      <c r="E36" s="150"/>
      <c r="F36" s="115" t="str">
        <f t="array" ref="F36">IFERROR(INDEX(DKN!G:V,MATCH($I$3,DKN!B:B,0)+2,ROW(A11)),"")</f>
        <v/>
      </c>
      <c r="G36" s="104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 spans="1:25" ht="15.5">
      <c r="A37" s="56"/>
      <c r="B37" s="114">
        <v>5</v>
      </c>
      <c r="C37" s="207" t="s">
        <v>59</v>
      </c>
      <c r="D37" s="150"/>
      <c r="E37" s="150"/>
      <c r="F37" s="115" t="str">
        <f t="array" ref="F37">IFERROR(INDEX(DKN!G:V,MATCH($I$3,DKN!B:B,0)+2,ROW(A12)),"")</f>
        <v/>
      </c>
      <c r="G37" s="104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 spans="1:25" ht="15.5">
      <c r="A38" s="56"/>
      <c r="B38" s="114">
        <v>6</v>
      </c>
      <c r="C38" s="207" t="s">
        <v>10</v>
      </c>
      <c r="D38" s="150"/>
      <c r="E38" s="150"/>
      <c r="F38" s="115" t="str">
        <f t="array" ref="F38">IFERROR(INDEX(DKN!G:V,MATCH($I$3,DKN!B:B,0)+2,ROW(A13)),"")</f>
        <v/>
      </c>
      <c r="G38" s="104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</row>
    <row r="39" spans="1:25" ht="15.5">
      <c r="A39" s="56"/>
      <c r="B39" s="114">
        <v>7</v>
      </c>
      <c r="C39" s="207" t="s">
        <v>60</v>
      </c>
      <c r="D39" s="150"/>
      <c r="E39" s="150"/>
      <c r="F39" s="115" t="str">
        <f t="array" ref="F39">IFERROR(INDEX(DKN!G:V,MATCH($I$3,DKN!B:B,0)+2,ROW(A14)),"")</f>
        <v/>
      </c>
      <c r="G39" s="104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</row>
    <row r="40" spans="1:25" ht="15.5">
      <c r="A40" s="56"/>
      <c r="B40" s="114">
        <v>8</v>
      </c>
      <c r="C40" s="207" t="s">
        <v>162</v>
      </c>
      <c r="D40" s="150"/>
      <c r="E40" s="150"/>
      <c r="F40" s="115" t="str">
        <f t="array" ref="F40">IFERROR(INDEX(DKN!G:V,MATCH($I$3,DKN!B:B,0)+2,ROW(A15)),"")</f>
        <v/>
      </c>
      <c r="G40" s="104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</row>
    <row r="41" spans="1:25" ht="15.5">
      <c r="A41" s="56"/>
      <c r="B41" s="114">
        <v>9</v>
      </c>
      <c r="C41" s="207" t="s">
        <v>163</v>
      </c>
      <c r="D41" s="150"/>
      <c r="E41" s="150"/>
      <c r="F41" s="115" t="str">
        <f t="array" ref="F41">IFERROR(INDEX(DKN!G:V,MATCH($I$3,DKN!B:B,0)+2,ROW(A16)),"")</f>
        <v/>
      </c>
      <c r="G41" s="111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</row>
    <row r="42" spans="1:25" ht="15.5">
      <c r="A42" s="56"/>
      <c r="B42" s="208" t="s">
        <v>164</v>
      </c>
      <c r="C42" s="150"/>
      <c r="D42" s="150"/>
      <c r="E42" s="150"/>
      <c r="F42" s="113"/>
      <c r="G42" s="41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</row>
    <row r="43" spans="1:25" ht="15.5">
      <c r="A43" s="56"/>
      <c r="B43" s="114">
        <v>1</v>
      </c>
      <c r="C43" s="207" t="s">
        <v>165</v>
      </c>
      <c r="D43" s="150"/>
      <c r="E43" s="150"/>
      <c r="F43" s="115" t="str">
        <f t="array" ref="F43">IFERROR(INDEX(DKN!G:V,MATCH($I$3,DKN!B:B,0)+2,ROW(A7)),"")</f>
        <v/>
      </c>
      <c r="G43" s="104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</row>
    <row r="44" spans="1:25" ht="18.5">
      <c r="A44" s="56"/>
      <c r="B44" s="209" t="s">
        <v>100</v>
      </c>
      <c r="C44" s="150"/>
      <c r="D44" s="150"/>
      <c r="E44" s="150"/>
      <c r="F44" s="117" t="e">
        <f>AVERAGE(F26:F31, F33:F41, F43)</f>
        <v>#DIV/0!</v>
      </c>
      <c r="G44" s="9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</row>
    <row r="45" spans="1:25" ht="15.5">
      <c r="A45" s="96"/>
      <c r="B45" s="96"/>
      <c r="C45" s="96"/>
      <c r="D45" s="96"/>
      <c r="E45" s="96"/>
      <c r="F45" s="96"/>
      <c r="G45" s="9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</row>
    <row r="46" spans="1:25" ht="15.5">
      <c r="A46" s="153" t="s">
        <v>176</v>
      </c>
      <c r="B46" s="153"/>
      <c r="C46" s="153"/>
      <c r="D46" s="153"/>
      <c r="E46" s="153"/>
      <c r="F46" s="153"/>
      <c r="G46" s="153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</row>
    <row r="47" spans="1:25" ht="15.5">
      <c r="A47" s="153" t="s">
        <v>177</v>
      </c>
      <c r="B47" s="150"/>
      <c r="C47" s="150"/>
      <c r="D47" s="150"/>
      <c r="E47" s="150"/>
      <c r="F47" s="150"/>
      <c r="G47" s="150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</row>
    <row r="48" spans="1:25" ht="14.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</row>
    <row r="49" spans="1:25" ht="15.5">
      <c r="A49" s="96"/>
      <c r="B49" s="96"/>
      <c r="C49" s="96"/>
      <c r="D49" s="56"/>
      <c r="E49" s="56" t="str">
        <f>"Mojokerto, " &amp; BIODATA!D13</f>
        <v>Mojokerto, 04 Mei 2026</v>
      </c>
      <c r="F49" s="56"/>
      <c r="G49" s="96"/>
      <c r="H49" s="56"/>
      <c r="I49" s="56"/>
      <c r="J49" s="96"/>
      <c r="K49" s="96"/>
      <c r="L49" s="9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</row>
    <row r="50" spans="1:25" ht="15.5">
      <c r="A50" s="96"/>
      <c r="B50" s="96"/>
      <c r="C50" s="96"/>
      <c r="D50" s="56"/>
      <c r="E50" s="149" t="str">
        <f>"Kepala " &amp;  BIODATA!D7</f>
        <v>Kepala SMKS PACET</v>
      </c>
      <c r="F50" s="150"/>
      <c r="G50" s="96"/>
      <c r="H50" s="56"/>
      <c r="I50" s="56"/>
      <c r="J50" s="96"/>
      <c r="K50" s="96"/>
      <c r="L50" s="9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</row>
    <row r="51" spans="1:25" ht="62.25" customHeight="1">
      <c r="A51" s="96"/>
      <c r="B51" s="96"/>
      <c r="C51" s="96"/>
      <c r="D51" s="56"/>
      <c r="E51" s="96"/>
      <c r="F51" s="96"/>
      <c r="G51" s="96"/>
      <c r="H51" s="56"/>
      <c r="I51" s="56"/>
      <c r="J51" s="96"/>
      <c r="K51" s="96"/>
      <c r="L51" s="9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</row>
    <row r="52" spans="1:25" ht="15.5">
      <c r="A52" s="96"/>
      <c r="B52" s="96"/>
      <c r="C52" s="96"/>
      <c r="D52" s="56"/>
      <c r="E52" s="118" t="str">
        <f>BIODATA!D14</f>
        <v>Moh Junaedi Hartanto, S.Pd</v>
      </c>
      <c r="F52" s="119"/>
      <c r="G52" s="96"/>
      <c r="H52" s="56"/>
      <c r="I52" s="56"/>
      <c r="J52" s="96"/>
      <c r="K52" s="96"/>
      <c r="L52" s="9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</row>
    <row r="53" spans="1:25" ht="15.5">
      <c r="A53" s="96"/>
      <c r="B53" s="96"/>
      <c r="C53" s="96"/>
      <c r="D53" s="56"/>
      <c r="E53" s="151" t="str">
        <f>"NIP. " &amp; BIODATA!D15</f>
        <v>NIP. -</v>
      </c>
      <c r="F53" s="150"/>
      <c r="G53" s="96"/>
      <c r="H53" s="56"/>
      <c r="I53" s="56"/>
      <c r="J53" s="96"/>
      <c r="K53" s="96"/>
      <c r="L53" s="9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</row>
  </sheetData>
  <mergeCells count="45">
    <mergeCell ref="A1:G1"/>
    <mergeCell ref="A3:G3"/>
    <mergeCell ref="A4:G4"/>
    <mergeCell ref="A5:G5"/>
    <mergeCell ref="A6:G6"/>
    <mergeCell ref="A7:G7"/>
    <mergeCell ref="D8:G8"/>
    <mergeCell ref="D9:G9"/>
    <mergeCell ref="D10:G10"/>
    <mergeCell ref="A12:G12"/>
    <mergeCell ref="A13:G13"/>
    <mergeCell ref="I13:K16"/>
    <mergeCell ref="D14:G14"/>
    <mergeCell ref="D15:G15"/>
    <mergeCell ref="D16:G16"/>
    <mergeCell ref="D17:G17"/>
    <mergeCell ref="D18:G18"/>
    <mergeCell ref="A19:G19"/>
    <mergeCell ref="A20:G20"/>
    <mergeCell ref="A21:G21"/>
    <mergeCell ref="C23:E23"/>
    <mergeCell ref="B25:E25"/>
    <mergeCell ref="C26:E26"/>
    <mergeCell ref="C27:E27"/>
    <mergeCell ref="C28:E28"/>
    <mergeCell ref="C29:E29"/>
    <mergeCell ref="C30:E30"/>
    <mergeCell ref="C31:E31"/>
    <mergeCell ref="B32:E32"/>
    <mergeCell ref="C33:E33"/>
    <mergeCell ref="C34:E34"/>
    <mergeCell ref="C35:E35"/>
    <mergeCell ref="C36:E36"/>
    <mergeCell ref="C37:E37"/>
    <mergeCell ref="C38:E38"/>
    <mergeCell ref="A47:G47"/>
    <mergeCell ref="E50:F50"/>
    <mergeCell ref="E53:F53"/>
    <mergeCell ref="C39:E39"/>
    <mergeCell ref="C40:E40"/>
    <mergeCell ref="C41:E41"/>
    <mergeCell ref="B42:E42"/>
    <mergeCell ref="C43:E43"/>
    <mergeCell ref="B44:E44"/>
    <mergeCell ref="A46:G4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RR!$B$9:$B$48</xm:f>
          </x14:formula1>
          <xm:sqref>I3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5200C"/>
    <outlinePr summaryBelow="0" summaryRight="0"/>
  </sheetPr>
  <dimension ref="A1:G44"/>
  <sheetViews>
    <sheetView workbookViewId="0">
      <selection activeCell="F11" sqref="F11"/>
    </sheetView>
  </sheetViews>
  <sheetFormatPr defaultColWidth="12.6328125" defaultRowHeight="15.75" customHeight="1"/>
  <cols>
    <col min="1" max="1" width="8.08984375" customWidth="1"/>
    <col min="2" max="2" width="18.453125" customWidth="1"/>
    <col min="3" max="3" width="38.7265625" customWidth="1"/>
    <col min="4" max="4" width="23" customWidth="1"/>
    <col min="5" max="5" width="6.6328125" customWidth="1"/>
    <col min="6" max="6" width="29" customWidth="1"/>
  </cols>
  <sheetData>
    <row r="1" spans="1:6" ht="112.5" customHeight="1">
      <c r="A1" s="156"/>
      <c r="B1" s="150"/>
      <c r="C1" s="150"/>
      <c r="D1" s="150"/>
      <c r="E1" s="56"/>
      <c r="F1" s="56"/>
    </row>
    <row r="2" spans="1:6" ht="6.75" customHeight="1">
      <c r="A2" s="56"/>
      <c r="B2" s="56"/>
      <c r="C2" s="56"/>
      <c r="D2" s="34"/>
      <c r="E2" s="56"/>
      <c r="F2" s="56"/>
    </row>
    <row r="3" spans="1:6" ht="27.75" customHeight="1">
      <c r="A3" s="157" t="s">
        <v>144</v>
      </c>
      <c r="B3" s="150"/>
      <c r="C3" s="150"/>
      <c r="D3" s="150"/>
      <c r="E3" s="56"/>
      <c r="F3" s="97" t="s">
        <v>195</v>
      </c>
    </row>
    <row r="4" spans="1:6" ht="15.5">
      <c r="A4" s="158" t="s">
        <v>197</v>
      </c>
      <c r="B4" s="159"/>
      <c r="C4" s="159"/>
      <c r="D4" s="159"/>
      <c r="E4" s="56"/>
      <c r="F4" s="98" t="s">
        <v>145</v>
      </c>
    </row>
    <row r="5" spans="1:6" ht="14.5">
      <c r="A5" s="151"/>
      <c r="B5" s="150"/>
      <c r="C5" s="56"/>
      <c r="D5" s="34"/>
      <c r="E5" s="56"/>
      <c r="F5" s="107"/>
    </row>
    <row r="6" spans="1:6" ht="15.5">
      <c r="A6" s="149" t="s">
        <v>5</v>
      </c>
      <c r="B6" s="150"/>
      <c r="C6" s="96" t="str">
        <f>": " &amp;BIODATA!D7</f>
        <v>: SMKS PACET</v>
      </c>
      <c r="D6" s="104"/>
      <c r="E6" s="56"/>
      <c r="F6" s="56"/>
    </row>
    <row r="7" spans="1:6" ht="15.5">
      <c r="A7" s="149" t="s">
        <v>178</v>
      </c>
      <c r="B7" s="150"/>
      <c r="C7" s="96" t="str">
        <f>": " &amp;BIODATA!D9</f>
        <v>: 20549437</v>
      </c>
      <c r="D7" s="104"/>
      <c r="E7" s="56"/>
      <c r="F7" s="56"/>
    </row>
    <row r="8" spans="1:6" ht="15.5">
      <c r="A8" s="149" t="s">
        <v>179</v>
      </c>
      <c r="B8" s="150"/>
      <c r="C8" s="96" t="e">
        <f>": " &amp; _xlfn.XLOOKUP($F$3,BIODATA!$B$24:$B$63,BIODATA!D$24:D$63)</f>
        <v>#N/A</v>
      </c>
      <c r="D8" s="104"/>
      <c r="E8" s="56"/>
      <c r="F8" s="56"/>
    </row>
    <row r="9" spans="1:6" ht="15.5">
      <c r="A9" s="149" t="s">
        <v>147</v>
      </c>
      <c r="B9" s="150"/>
      <c r="C9" s="96" t="e">
        <f>": " &amp; _xlfn.XLOOKUP($F$3,BIODATA!$B$24:$B$63,BIODATA!F$24:F$63)</f>
        <v>#N/A</v>
      </c>
      <c r="D9" s="104"/>
      <c r="E9" s="56"/>
      <c r="F9" s="56"/>
    </row>
    <row r="10" spans="1:6" ht="15.5">
      <c r="A10" s="149" t="s">
        <v>173</v>
      </c>
      <c r="B10" s="150"/>
      <c r="C10" s="96" t="e">
        <f>": " &amp; _xlfn.XLOOKUP($F$3,BIODATA!$B$24:$B$63,BIODATA!C$24:C$63)</f>
        <v>#N/A</v>
      </c>
      <c r="D10" s="104"/>
      <c r="E10" s="56"/>
      <c r="F10" s="56"/>
    </row>
    <row r="11" spans="1:6" ht="15.5">
      <c r="A11" s="149" t="s">
        <v>180</v>
      </c>
      <c r="B11" s="150"/>
      <c r="C11" s="96" t="e">
        <f>": " &amp; _xlfn.XLOOKUP($F$3,BIODATA!$B$24:$B$63,BIODATA!K$24:K$63)</f>
        <v>#N/A</v>
      </c>
      <c r="D11" s="104"/>
      <c r="E11" s="56"/>
      <c r="F11" s="56"/>
    </row>
    <row r="12" spans="1:6" ht="15.5">
      <c r="A12" s="149" t="s">
        <v>11</v>
      </c>
      <c r="B12" s="150"/>
      <c r="C12" s="96" t="str">
        <f>": " &amp; BIODATA!D13</f>
        <v>: 04 Mei 2026</v>
      </c>
      <c r="D12" s="104"/>
      <c r="E12" s="56"/>
      <c r="F12" s="56"/>
    </row>
    <row r="13" spans="1:6" ht="15.5">
      <c r="A13" s="149" t="s">
        <v>9</v>
      </c>
      <c r="B13" s="150"/>
      <c r="C13" s="96" t="str">
        <f>": " &amp;BIODATA!D11</f>
        <v>: Tenik Otomotif</v>
      </c>
      <c r="D13" s="104"/>
      <c r="E13" s="56"/>
      <c r="F13" s="56"/>
    </row>
    <row r="14" spans="1:6" ht="15.5">
      <c r="A14" s="149" t="s">
        <v>10</v>
      </c>
      <c r="B14" s="150"/>
      <c r="C14" s="96" t="str">
        <f>": " &amp; BIODATA!D12</f>
        <v>: Teknik Kendaraan Ringan</v>
      </c>
      <c r="D14" s="104"/>
      <c r="E14" s="56"/>
      <c r="F14" s="56"/>
    </row>
    <row r="15" spans="1:6" ht="15.5">
      <c r="A15" s="96"/>
      <c r="B15" s="96"/>
      <c r="C15" s="96"/>
      <c r="D15" s="104"/>
      <c r="E15" s="56"/>
      <c r="F15" s="56"/>
    </row>
    <row r="16" spans="1:6" ht="31.5" customHeight="1">
      <c r="A16" s="19" t="s">
        <v>181</v>
      </c>
      <c r="B16" s="154" t="s">
        <v>114</v>
      </c>
      <c r="C16" s="150"/>
      <c r="D16" s="19" t="s">
        <v>133</v>
      </c>
      <c r="E16" s="56"/>
      <c r="F16" s="56"/>
    </row>
    <row r="17" spans="1:6" ht="6" customHeight="1">
      <c r="A17" s="155"/>
      <c r="B17" s="150"/>
      <c r="C17" s="150"/>
      <c r="D17" s="150"/>
      <c r="E17" s="96"/>
      <c r="F17" s="56"/>
    </row>
    <row r="18" spans="1:6" ht="15.5">
      <c r="A18" s="104">
        <v>1</v>
      </c>
      <c r="B18" s="153" t="s">
        <v>48</v>
      </c>
      <c r="C18" s="150"/>
      <c r="D18" s="115" t="str">
        <f t="array" ref="D18">IFERROR(INDEX(DKN!G:V,MATCH($F$3,DKN!B:B,0)+2,ROW(A1)),"")</f>
        <v/>
      </c>
      <c r="E18" s="96"/>
      <c r="F18" s="56"/>
    </row>
    <row r="19" spans="1:6" ht="15.5">
      <c r="A19" s="104">
        <v>2</v>
      </c>
      <c r="B19" s="105" t="s">
        <v>49</v>
      </c>
      <c r="C19" s="96"/>
      <c r="D19" s="115" t="str">
        <f t="array" ref="D19">IFERROR(INDEX(DKN!G:V,MATCH($F$3,DKN!B:B,0)+2,ROW(A2)),"")</f>
        <v/>
      </c>
      <c r="E19" s="56"/>
      <c r="F19" s="56"/>
    </row>
    <row r="20" spans="1:6" ht="15.5">
      <c r="A20" s="104">
        <v>3</v>
      </c>
      <c r="B20" s="153" t="s">
        <v>50</v>
      </c>
      <c r="C20" s="150"/>
      <c r="D20" s="115" t="str">
        <f t="array" ref="D20">IFERROR(INDEX(DKN!G:V,MATCH($F$3,DKN!B:B,0)+2,ROW(A3)),"")</f>
        <v/>
      </c>
      <c r="E20" s="56"/>
      <c r="F20" s="56"/>
    </row>
    <row r="21" spans="1:6" ht="15.5">
      <c r="A21" s="104">
        <v>4</v>
      </c>
      <c r="B21" s="105" t="s">
        <v>51</v>
      </c>
      <c r="C21" s="105"/>
      <c r="D21" s="115" t="str">
        <f t="array" ref="D21">IFERROR(INDEX(DKN!G:V,MATCH($F$3,DKN!B:B,0)+2,ROW(A4)),"")</f>
        <v/>
      </c>
      <c r="E21" s="56"/>
      <c r="F21" s="56"/>
    </row>
    <row r="22" spans="1:6" ht="15.5">
      <c r="A22" s="104">
        <v>5</v>
      </c>
      <c r="B22" s="153" t="s">
        <v>52</v>
      </c>
      <c r="C22" s="150"/>
      <c r="D22" s="115" t="str">
        <f t="array" ref="D22">IFERROR(INDEX(DKN!G:V,MATCH($F$3,DKN!B:B,0)+2,ROW(A5)),"")</f>
        <v/>
      </c>
      <c r="E22" s="56"/>
      <c r="F22" s="56"/>
    </row>
    <row r="23" spans="1:6" ht="15.5">
      <c r="A23" s="104">
        <v>6</v>
      </c>
      <c r="B23" s="153" t="s">
        <v>53</v>
      </c>
      <c r="C23" s="150"/>
      <c r="D23" s="115" t="str">
        <f t="array" ref="D23">IFERROR(INDEX(DKN!G:V,MATCH($F$3,DKN!B:B,0)+2,ROW(A6)),"")</f>
        <v/>
      </c>
      <c r="E23" s="56"/>
      <c r="F23" s="56"/>
    </row>
    <row r="24" spans="1:6" ht="15.5">
      <c r="A24" s="104">
        <v>7</v>
      </c>
      <c r="B24" s="149" t="s">
        <v>182</v>
      </c>
      <c r="C24" s="150"/>
      <c r="D24" s="115" t="str">
        <f t="array" ref="D24">IFERROR(INDEX(DKN!G:V,MATCH($F$3,DKN!B:B,0)+2,ROW(A7)),"")</f>
        <v/>
      </c>
      <c r="E24" s="56"/>
      <c r="F24" s="56"/>
    </row>
    <row r="25" spans="1:6" ht="15.5">
      <c r="A25" s="104">
        <v>8</v>
      </c>
      <c r="B25" s="149" t="s">
        <v>55</v>
      </c>
      <c r="C25" s="150"/>
      <c r="D25" s="115" t="str">
        <f t="array" ref="D25">IFERROR(INDEX(DKN!G:V,MATCH($F$3,DKN!B:B,0)+2,ROW(A8)),"")</f>
        <v/>
      </c>
      <c r="E25" s="56"/>
      <c r="F25" s="56"/>
    </row>
    <row r="26" spans="1:6" ht="15.5">
      <c r="A26" s="104">
        <v>9</v>
      </c>
      <c r="B26" s="149" t="s">
        <v>56</v>
      </c>
      <c r="C26" s="150"/>
      <c r="D26" s="115" t="str">
        <f t="array" ref="D26">IFERROR(INDEX(DKN!G:V,MATCH($F$3,DKN!B:B,0)+2,ROW(A9)),"")</f>
        <v/>
      </c>
      <c r="E26" s="56"/>
      <c r="F26" s="56"/>
    </row>
    <row r="27" spans="1:6" ht="15.5">
      <c r="A27" s="104">
        <v>10</v>
      </c>
      <c r="B27" s="149" t="s">
        <v>57</v>
      </c>
      <c r="C27" s="150"/>
      <c r="D27" s="115" t="str">
        <f t="array" ref="D27">IFERROR(INDEX(DKN!G:V,MATCH($F$3,DKN!B:B,0)+2,ROW(A10)),"")</f>
        <v/>
      </c>
      <c r="E27" s="56"/>
      <c r="F27" s="56"/>
    </row>
    <row r="28" spans="1:6" ht="15.5">
      <c r="A28" s="104">
        <v>11</v>
      </c>
      <c r="B28" s="149" t="s">
        <v>58</v>
      </c>
      <c r="C28" s="150"/>
      <c r="D28" s="115" t="str">
        <f t="array" ref="D28">IFERROR(INDEX(DKN!G:V,MATCH($F$3,DKN!B:B,0)+2,ROW(A11)),"")</f>
        <v/>
      </c>
      <c r="E28" s="56"/>
      <c r="F28" s="56"/>
    </row>
    <row r="29" spans="1:6" ht="15.5">
      <c r="A29" s="104">
        <v>12</v>
      </c>
      <c r="B29" s="149" t="s">
        <v>59</v>
      </c>
      <c r="C29" s="150"/>
      <c r="D29" s="115" t="str">
        <f t="array" ref="D29">IFERROR(INDEX(DKN!G:V,MATCH($F$3,DKN!B:B,0)+2,ROW(A12)),"")</f>
        <v/>
      </c>
      <c r="E29" s="56"/>
      <c r="F29" s="56"/>
    </row>
    <row r="30" spans="1:6" ht="15.5">
      <c r="A30" s="104">
        <v>13</v>
      </c>
      <c r="B30" s="149" t="s">
        <v>10</v>
      </c>
      <c r="C30" s="150"/>
      <c r="D30" s="115" t="str">
        <f t="array" ref="D30">IFERROR(INDEX(DKN!G:V,MATCH($F$3,DKN!B:B,0)+2,ROW(A13)),"")</f>
        <v/>
      </c>
      <c r="E30" s="56"/>
      <c r="F30" s="56"/>
    </row>
    <row r="31" spans="1:6" ht="15.5">
      <c r="A31" s="104">
        <v>14</v>
      </c>
      <c r="B31" s="149" t="s">
        <v>60</v>
      </c>
      <c r="C31" s="150"/>
      <c r="D31" s="115" t="str">
        <f t="array" ref="D31">IFERROR(INDEX(DKN!G:V,MATCH($F$3,DKN!B:B,0)+2,ROW(A14)),"")</f>
        <v/>
      </c>
      <c r="E31" s="56"/>
      <c r="F31" s="56"/>
    </row>
    <row r="32" spans="1:6" ht="15.5">
      <c r="A32" s="104">
        <v>15</v>
      </c>
      <c r="B32" s="149" t="s">
        <v>61</v>
      </c>
      <c r="C32" s="150"/>
      <c r="D32" s="115" t="str">
        <f t="array" ref="D32">IFERROR(INDEX(DKN!G:V,MATCH($F$3,DKN!B:B,0)+2,ROW(A15)),"")</f>
        <v/>
      </c>
      <c r="E32" s="56"/>
      <c r="F32" s="56"/>
    </row>
    <row r="33" spans="1:7" ht="15.5">
      <c r="A33" s="104">
        <v>16</v>
      </c>
      <c r="B33" s="149" t="s">
        <v>62</v>
      </c>
      <c r="C33" s="150"/>
      <c r="D33" s="115" t="str">
        <f t="array" ref="D33">IFERROR(INDEX(DKN!G:V,MATCH($F$3,DKN!B:B,0)+2,ROW(A16)),"")</f>
        <v/>
      </c>
      <c r="E33" s="56"/>
      <c r="F33" s="56"/>
    </row>
    <row r="34" spans="1:7" ht="6" customHeight="1">
      <c r="A34" s="120"/>
      <c r="B34" s="120"/>
      <c r="C34" s="120"/>
      <c r="D34" s="121"/>
      <c r="E34" s="56"/>
      <c r="F34" s="56"/>
    </row>
    <row r="35" spans="1:7" ht="14.5">
      <c r="A35" s="56"/>
      <c r="B35" s="56"/>
      <c r="C35" s="56"/>
      <c r="D35" s="56"/>
      <c r="E35" s="56"/>
      <c r="F35" s="56"/>
    </row>
    <row r="36" spans="1:7" ht="14.5">
      <c r="A36" s="56"/>
      <c r="B36" s="56"/>
      <c r="C36" s="56"/>
      <c r="D36" s="34"/>
      <c r="E36" s="56"/>
      <c r="F36" s="56"/>
    </row>
    <row r="37" spans="1:7" ht="14.5">
      <c r="A37" s="56"/>
      <c r="B37" s="56"/>
      <c r="C37" s="56"/>
      <c r="D37" s="151" t="str">
        <f>"Mojokerto, " &amp;  BIODATA!D13</f>
        <v>Mojokerto, 04 Mei 2026</v>
      </c>
      <c r="E37" s="150"/>
      <c r="F37" s="150"/>
      <c r="G37" s="150"/>
    </row>
    <row r="38" spans="1:7" ht="14.5">
      <c r="A38" s="56"/>
      <c r="B38" s="56"/>
      <c r="C38" s="56"/>
      <c r="D38" s="56" t="str">
        <f>"Kepala " &amp; BIODATA!D7</f>
        <v>Kepala SMKS PACET</v>
      </c>
      <c r="E38" s="56"/>
      <c r="F38" s="56"/>
      <c r="G38" s="34"/>
    </row>
    <row r="39" spans="1:7" ht="14.5">
      <c r="A39" s="56"/>
      <c r="B39" s="56"/>
      <c r="C39" s="56"/>
      <c r="D39" s="56"/>
      <c r="E39" s="56"/>
      <c r="F39" s="56"/>
      <c r="G39" s="34"/>
    </row>
    <row r="40" spans="1:7" ht="14.5">
      <c r="A40" s="56"/>
      <c r="B40" s="56"/>
      <c r="C40" s="56"/>
      <c r="D40" s="56"/>
      <c r="E40" s="56"/>
      <c r="F40" s="56"/>
      <c r="G40" s="34"/>
    </row>
    <row r="41" spans="1:7" ht="14.5">
      <c r="A41" s="56"/>
      <c r="B41" s="56"/>
      <c r="C41" s="56"/>
      <c r="D41" s="56"/>
      <c r="E41" s="56"/>
      <c r="F41" s="56"/>
      <c r="G41" s="34"/>
    </row>
    <row r="42" spans="1:7" ht="14.5">
      <c r="A42" s="56"/>
      <c r="B42" s="56"/>
      <c r="C42" s="56"/>
      <c r="D42" s="56"/>
      <c r="E42" s="56"/>
      <c r="F42" s="56"/>
      <c r="G42" s="34"/>
    </row>
    <row r="43" spans="1:7" ht="14.5">
      <c r="D43" s="152" t="str">
        <f>BIODATA!D14</f>
        <v>Moh Junaedi Hartanto, S.Pd</v>
      </c>
      <c r="E43" s="150"/>
      <c r="F43" s="150"/>
      <c r="G43" s="34"/>
    </row>
    <row r="44" spans="1:7" ht="14.5">
      <c r="D44" s="151" t="str">
        <f>"NIP. " &amp; BIODATA!D15</f>
        <v>NIP. -</v>
      </c>
      <c r="E44" s="150"/>
      <c r="F44" s="150"/>
      <c r="G44" s="34"/>
    </row>
  </sheetData>
  <mergeCells count="32">
    <mergeCell ref="A1:D1"/>
    <mergeCell ref="A3:D3"/>
    <mergeCell ref="A4:D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B16:C16"/>
    <mergeCell ref="A17:D17"/>
    <mergeCell ref="B18:C18"/>
    <mergeCell ref="B20:C20"/>
    <mergeCell ref="B22:C22"/>
    <mergeCell ref="B23:C23"/>
    <mergeCell ref="B24:C24"/>
    <mergeCell ref="B25:C25"/>
    <mergeCell ref="B33:C33"/>
    <mergeCell ref="D37:G37"/>
    <mergeCell ref="D43:F43"/>
    <mergeCell ref="D44:F44"/>
    <mergeCell ref="B26:C26"/>
    <mergeCell ref="B27:C27"/>
    <mergeCell ref="B28:C28"/>
    <mergeCell ref="B29:C29"/>
    <mergeCell ref="B30:C30"/>
    <mergeCell ref="B31:C31"/>
    <mergeCell ref="B32:C3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RR!$B$9:$B$48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BIODATA</vt:lpstr>
      <vt:lpstr>RR</vt:lpstr>
      <vt:lpstr>PSAJ</vt:lpstr>
      <vt:lpstr>DKN</vt:lpstr>
      <vt:lpstr>TRANSKRIP</vt:lpstr>
      <vt:lpstr>SKL</vt:lpstr>
      <vt:lpstr>TRANSKRIP58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asus040426@outlook.com</cp:lastModifiedBy>
  <dcterms:created xsi:type="dcterms:W3CDTF">2026-04-26T05:04:27Z</dcterms:created>
  <dcterms:modified xsi:type="dcterms:W3CDTF">2026-04-26T13:59:26Z</dcterms:modified>
</cp:coreProperties>
</file>